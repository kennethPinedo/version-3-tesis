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CAS" sheetId="1" state="visible" r:id="rId1"/>
    <sheet name="Historia de Usu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D46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38" customWidth="1" min="3" max="3"/>
    <col width="52" customWidth="1" min="4" max="4"/>
  </cols>
  <sheetData>
    <row r="2">
      <c r="B2" s="1" t="inlineStr">
        <is>
          <t>Identificador de Épica</t>
        </is>
      </c>
      <c r="C2" s="1" t="inlineStr">
        <is>
          <t>Objetivo de la Épica</t>
        </is>
      </c>
      <c r="D2" s="1" t="inlineStr">
        <is>
          <t>Identificador (ID) de la Historia</t>
        </is>
      </c>
    </row>
    <row r="3">
      <c r="B3" s="2" t="inlineStr">
        <is>
          <t>EPICA0001</t>
        </is>
      </c>
      <c r="C3" s="3" t="inlineStr">
        <is>
          <t>Acceso y control de sesión</t>
        </is>
      </c>
      <c r="D3" s="3" t="inlineStr">
        <is>
          <t>HU0001 - Inicio de sesión por rol</t>
        </is>
      </c>
    </row>
    <row r="4">
      <c r="B4" s="2" t="inlineStr"/>
      <c r="C4" s="3" t="inlineStr"/>
      <c r="D4" s="3" t="inlineStr">
        <is>
          <t>HU0002 - Control de acceso por rol</t>
        </is>
      </c>
    </row>
    <row r="5">
      <c r="B5" s="2" t="inlineStr"/>
      <c r="C5" s="3" t="inlineStr"/>
      <c r="D5" s="3" t="inlineStr">
        <is>
          <t>HU0003 - Cierre de sesión</t>
        </is>
      </c>
    </row>
    <row r="6">
      <c r="B6" s="4" t="inlineStr">
        <is>
          <t>EPICA0002</t>
        </is>
      </c>
      <c r="C6" s="5" t="inlineStr">
        <is>
          <t>Gestión de estudiantes</t>
        </is>
      </c>
      <c r="D6" s="5" t="inlineStr">
        <is>
          <t>HU0004 - Registrar estudiante</t>
        </is>
      </c>
    </row>
    <row r="7">
      <c r="B7" s="4" t="inlineStr"/>
      <c r="C7" s="5" t="inlineStr"/>
      <c r="D7" s="5" t="inlineStr">
        <is>
          <t>HU0005 - Consultar el listado de estudiantes</t>
        </is>
      </c>
    </row>
    <row r="8">
      <c r="B8" s="4" t="inlineStr"/>
      <c r="C8" s="5" t="inlineStr"/>
      <c r="D8" s="5" t="inlineStr">
        <is>
          <t>HU0006 - Editar estudiante</t>
        </is>
      </c>
    </row>
    <row r="9">
      <c r="B9" s="4" t="inlineStr"/>
      <c r="C9" s="5" t="inlineStr"/>
      <c r="D9" s="5" t="inlineStr">
        <is>
          <t>HU0007 - Eliminar estudiante</t>
        </is>
      </c>
    </row>
    <row r="10">
      <c r="B10" s="2" t="inlineStr">
        <is>
          <t>EPICA0003</t>
        </is>
      </c>
      <c r="C10" s="3" t="inlineStr">
        <is>
          <t>Evaluación psicoeducativa (EDAH)</t>
        </is>
      </c>
      <c r="D10" s="3" t="inlineStr">
        <is>
          <t>HU0008 - Aplicar la encuesta EDAH</t>
        </is>
      </c>
    </row>
    <row r="11">
      <c r="B11" s="4" t="inlineStr">
        <is>
          <t>EPICA0004</t>
        </is>
      </c>
      <c r="C11" s="5" t="inlineStr">
        <is>
          <t>Control de inasistencias</t>
        </is>
      </c>
      <c r="D11" s="5" t="inlineStr">
        <is>
          <t>HU0009 - Registrar inasistencias</t>
        </is>
      </c>
    </row>
    <row r="12">
      <c r="B12" s="2" t="inlineStr">
        <is>
          <t>EPICA0005</t>
        </is>
      </c>
      <c r="C12" s="3" t="inlineStr">
        <is>
          <t>Gestión académica de notas</t>
        </is>
      </c>
      <c r="D12" s="3" t="inlineStr">
        <is>
          <t>HU0010 - Registrar notas por bimestre</t>
        </is>
      </c>
    </row>
    <row r="13">
      <c r="B13" s="2" t="inlineStr"/>
      <c r="C13" s="3" t="inlineStr"/>
      <c r="D13" s="3" t="inlineStr">
        <is>
          <t>HU0011 - Carga masiva de notas</t>
        </is>
      </c>
    </row>
    <row r="14">
      <c r="B14" s="4" t="inlineStr">
        <is>
          <t>EPICA0006</t>
        </is>
      </c>
      <c r="C14" s="5" t="inlineStr">
        <is>
          <t>Predicción y explicabilidad</t>
        </is>
      </c>
      <c r="D14" s="5" t="inlineStr">
        <is>
          <t>HU0012 - Generar la predicción</t>
        </is>
      </c>
    </row>
    <row r="15">
      <c r="B15" s="4" t="inlineStr"/>
      <c r="C15" s="5" t="inlineStr"/>
      <c r="D15" s="5" t="inlineStr">
        <is>
          <t>HU0013 - Consultar el historial de predicciones</t>
        </is>
      </c>
    </row>
    <row r="16">
      <c r="B16" s="4" t="inlineStr"/>
      <c r="C16" s="5" t="inlineStr"/>
      <c r="D16" s="5" t="inlineStr">
        <is>
          <t>HU0014 - Consultar la explicación del resultado</t>
        </is>
      </c>
    </row>
    <row r="17">
      <c r="B17" s="2" t="inlineStr">
        <is>
          <t>EPICA0007</t>
        </is>
      </c>
      <c r="C17" s="3" t="inlineStr">
        <is>
          <t>Analítica y visualización</t>
        </is>
      </c>
      <c r="D17" s="3" t="inlineStr">
        <is>
          <t>HU0015 - Consultar el panorama institucional</t>
        </is>
      </c>
    </row>
    <row r="18">
      <c r="B18" s="2" t="inlineStr"/>
      <c r="C18" s="3" t="inlineStr"/>
      <c r="D18" s="3" t="inlineStr">
        <is>
          <t>HU0016 - Consultar el panel de un estudiante</t>
        </is>
      </c>
    </row>
    <row r="19">
      <c r="B19" s="4" t="inlineStr">
        <is>
          <t>EPICA0008</t>
        </is>
      </c>
      <c r="C19" s="5" t="inlineStr">
        <is>
          <t>Expediente psicológico</t>
        </is>
      </c>
      <c r="D19" s="5" t="inlineStr">
        <is>
          <t>HU0017 - Descargar el expediente psicológico</t>
        </is>
      </c>
    </row>
    <row r="20">
      <c r="B20" s="2" t="inlineStr">
        <is>
          <t>EPICA0009</t>
        </is>
      </c>
      <c r="C20" s="3" t="inlineStr">
        <is>
          <t>Protección de datos y trazabilidad</t>
        </is>
      </c>
      <c r="D20" s="3" t="inlineStr">
        <is>
          <t>HU0018 - Proteger el documento de identidad</t>
        </is>
      </c>
    </row>
    <row r="21">
      <c r="B21" s="2" t="inlineStr"/>
      <c r="C21" s="3" t="inlineStr"/>
      <c r="D21" s="3" t="inlineStr">
        <is>
          <t>HU0019 - Confirmar cada cambio</t>
        </is>
      </c>
    </row>
    <row r="22">
      <c r="B22" s="2" t="inlineStr">
        <is>
          <t>EPICA0010</t>
        </is>
      </c>
      <c r="C22" s="3" t="inlineStr">
        <is>
          <t>Recuperacion de acceso y administracion de cuentas</t>
        </is>
      </c>
      <c r="D22" s="3" t="inlineStr">
        <is>
          <t>HU0020 - Solicitar el restablecimiento de contrasena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40" customWidth="1" min="4" max="4"/>
    <col width="15" customWidth="1" min="5" max="5"/>
    <col width="40" customWidth="1" min="6" max="6"/>
    <col width="58" customWidth="1" min="7" max="7"/>
    <col width="10" customWidth="1" min="8" max="8"/>
    <col width="14" customWidth="1" min="9" max="9"/>
    <col width="30" customWidth="1" min="10" max="10"/>
    <col width="40" customWidth="1" min="11" max="11"/>
    <col width="36" customWidth="1" min="12" max="12"/>
    <col width="52" customWidth="1" min="13" max="13"/>
  </cols>
  <sheetData>
    <row r="1">
      <c r="A1" s="1" t="inlineStr">
        <is>
          <t>Enunciado de la Historia</t>
        </is>
      </c>
      <c r="B1" s="9" t="n"/>
      <c r="C1" s="9" t="n"/>
      <c r="D1" s="9" t="n"/>
      <c r="E1" s="9" t="n"/>
      <c r="F1" s="9" t="n"/>
      <c r="G1" s="9" t="n"/>
      <c r="H1" s="9" t="n"/>
      <c r="I1" s="10" t="n"/>
      <c r="J1" s="6" t="inlineStr">
        <is>
          <t>Criterios de Aceptación</t>
        </is>
      </c>
      <c r="K1" s="9" t="n"/>
      <c r="L1" s="9" t="n"/>
      <c r="M1" s="10" t="n"/>
    </row>
    <row r="2">
      <c r="A2" s="1" t="inlineStr">
        <is>
          <t>Identificador (ID) de la Historia</t>
        </is>
      </c>
      <c r="B2" s="1" t="inlineStr">
        <is>
          <t>Rol</t>
        </is>
      </c>
      <c r="C2" s="1" t="inlineStr"/>
      <c r="D2" s="1" t="inlineStr">
        <is>
          <t>Característica / Funcionalidad</t>
        </is>
      </c>
      <c r="E2" s="1" t="inlineStr"/>
      <c r="F2" s="1" t="inlineStr">
        <is>
          <t>Razón / Resultado</t>
        </is>
      </c>
      <c r="G2" s="1" t="inlineStr">
        <is>
          <t>REDACCIÓN</t>
        </is>
      </c>
      <c r="H2" s="1" t="inlineStr">
        <is>
          <t>Número (#) de Escenario</t>
        </is>
      </c>
      <c r="I2" s="1" t="inlineStr">
        <is>
          <t>ID del Criterio</t>
        </is>
      </c>
      <c r="J2" s="6" t="inlineStr">
        <is>
          <t>Criterio de Aceptación (Título)</t>
        </is>
      </c>
      <c r="K2" s="6" t="inlineStr">
        <is>
          <t>Contexto</t>
        </is>
      </c>
      <c r="L2" s="6" t="inlineStr">
        <is>
          <t>Evento</t>
        </is>
      </c>
      <c r="M2" s="6" t="inlineStr">
        <is>
          <t>Resultado / Comportamiento esperado</t>
        </is>
      </c>
    </row>
    <row r="3">
      <c r="A3" s="4" t="inlineStr">
        <is>
          <t>HU0001</t>
        </is>
      </c>
      <c r="B3" s="5" t="inlineStr">
        <is>
          <t>Usuario del sistema</t>
        </is>
      </c>
      <c r="C3" s="5" t="inlineStr">
        <is>
          <t>Necesito:</t>
        </is>
      </c>
      <c r="D3" s="5" t="inlineStr">
        <is>
          <t>iniciar sesión con mi usuario y contraseña</t>
        </is>
      </c>
      <c r="E3" s="5" t="inlineStr">
        <is>
          <t>Con la finalidad de:</t>
        </is>
      </c>
      <c r="F3" s="5" t="inlineStr">
        <is>
          <t>acceder a las funciones que corresponden a mi rol</t>
        </is>
      </c>
      <c r="G3" s="5">
        <f>CONCATENATE("Como ",B3," quiero ",D3," para ",F3)</f>
        <v/>
      </c>
      <c r="H3" s="7" t="n">
        <v>1</v>
      </c>
      <c r="I3" s="7">
        <f>CONCATENATE(A3,"-",H3)</f>
        <v/>
      </c>
      <c r="J3" s="8" t="inlineStr">
        <is>
          <t>Inicio de sesión exitoso</t>
        </is>
      </c>
      <c r="K3" s="5" t="inlineStr">
        <is>
          <t>El usuario dispone de credenciales válidas (admin, psicologo o docente)</t>
        </is>
      </c>
      <c r="L3" s="5" t="inlineStr">
        <is>
          <t>Ingresa usuario y contraseña correctos y pulsa «Ingresar»</t>
        </is>
      </c>
      <c r="M3" s="5" t="inlineStr">
        <is>
          <t>El sistema abre la sesión, entrega un token y muestra el Dashboard General</t>
        </is>
      </c>
    </row>
    <row r="4">
      <c r="A4" s="4" t="inlineStr">
        <is>
          <t>HU0001</t>
        </is>
      </c>
      <c r="B4" s="5" t="inlineStr"/>
      <c r="C4" s="5" t="inlineStr"/>
      <c r="D4" s="5" t="inlineStr"/>
      <c r="E4" s="5" t="inlineStr"/>
      <c r="F4" s="5" t="inlineStr"/>
      <c r="G4" s="5" t="inlineStr"/>
      <c r="H4" s="7" t="n">
        <v>2</v>
      </c>
      <c r="I4" s="7">
        <f>CONCATENATE(A4,"-",H4)</f>
        <v/>
      </c>
      <c r="J4" s="8" t="inlineStr">
        <is>
          <t>Credenciales incorrectas</t>
        </is>
      </c>
      <c r="K4" s="5" t="inlineStr">
        <is>
          <t>El usuario escribe una contraseña que no corresponde a su cuenta</t>
        </is>
      </c>
      <c r="L4" s="5" t="inlineStr">
        <is>
          <t>Envía el formulario de acceso</t>
        </is>
      </c>
      <c r="M4" s="5" t="inlineStr">
        <is>
          <t>El sistema responde «Usuario o contraseña incorrectos» y no abre sesión</t>
        </is>
      </c>
    </row>
    <row r="5">
      <c r="A5" s="4" t="inlineStr">
        <is>
          <t>HU0001</t>
        </is>
      </c>
      <c r="B5" s="5" t="inlineStr"/>
      <c r="C5" s="5" t="inlineStr"/>
      <c r="D5" s="5" t="inlineStr"/>
      <c r="E5" s="5" t="inlineStr"/>
      <c r="F5" s="5" t="inlineStr"/>
      <c r="G5" s="5" t="inlineStr"/>
      <c r="H5" s="7" t="n">
        <v>3</v>
      </c>
      <c r="I5" s="7">
        <f>CONCATENATE(A5,"-",H5)</f>
        <v/>
      </c>
      <c r="J5" s="8" t="inlineStr">
        <is>
          <t>Campos vacíos</t>
        </is>
      </c>
      <c r="K5" s="5" t="inlineStr">
        <is>
          <t>El usuario deja el usuario o la contraseña sin completar</t>
        </is>
      </c>
      <c r="L5" s="5" t="inlineStr">
        <is>
          <t>Intenta enviar el formulario</t>
        </is>
      </c>
      <c r="M5" s="5" t="inlineStr">
        <is>
          <t>El sistema rechaza el envío indicando que ambos campos son obligatorios</t>
        </is>
      </c>
    </row>
    <row r="6">
      <c r="A6" s="4" t="inlineStr">
        <is>
          <t>HU0002</t>
        </is>
      </c>
      <c r="B6" s="5" t="inlineStr">
        <is>
          <t>Usuario del sistema</t>
        </is>
      </c>
      <c r="C6" s="5" t="inlineStr">
        <is>
          <t>Necesito:</t>
        </is>
      </c>
      <c r="D6" s="5" t="inlineStr">
        <is>
          <t>ver únicamente las opciones que mi rol permite</t>
        </is>
      </c>
      <c r="E6" s="5" t="inlineStr">
        <is>
          <t>Con la finalidad de:</t>
        </is>
      </c>
      <c r="F6" s="5" t="inlineStr">
        <is>
          <t>no acceder a información ajena a mis funciones</t>
        </is>
      </c>
      <c r="G6" s="5">
        <f>CONCATENATE("Como ",B6," quiero ",D6," para ",F6)</f>
        <v/>
      </c>
      <c r="H6" s="7" t="n">
        <v>1</v>
      </c>
      <c r="I6" s="7">
        <f>CONCATENATE(A6,"-",H6)</f>
        <v/>
      </c>
      <c r="J6" s="8" t="inlineStr">
        <is>
          <t>Menú del Docente</t>
        </is>
      </c>
      <c r="K6" s="5" t="inlineStr">
        <is>
          <t>Un docente ha iniciado sesión</t>
        </is>
      </c>
      <c r="L6" s="5" t="inlineStr">
        <is>
          <t>Observa la barra lateral</t>
        </is>
      </c>
      <c r="M6" s="5" t="inlineStr">
        <is>
          <t>Ve 7 opciones y no aparecen Encuesta Psicoeducativa ni Expediente Psicológico</t>
        </is>
      </c>
    </row>
    <row r="7">
      <c r="A7" s="4" t="inlineStr">
        <is>
          <t>HU0002</t>
        </is>
      </c>
      <c r="B7" s="5" t="inlineStr"/>
      <c r="C7" s="5" t="inlineStr"/>
      <c r="D7" s="5" t="inlineStr"/>
      <c r="E7" s="5" t="inlineStr"/>
      <c r="F7" s="5" t="inlineStr"/>
      <c r="G7" s="5" t="inlineStr"/>
      <c r="H7" s="7" t="n">
        <v>2</v>
      </c>
      <c r="I7" s="7">
        <f>CONCATENATE(A7,"-",H7)</f>
        <v/>
      </c>
      <c r="J7" s="8" t="inlineStr">
        <is>
          <t>Menú del Psicólogo</t>
        </is>
      </c>
      <c r="K7" s="5" t="inlineStr">
        <is>
          <t>Un psicólogo ha iniciado sesión</t>
        </is>
      </c>
      <c r="L7" s="5" t="inlineStr">
        <is>
          <t>Observa la barra lateral</t>
        </is>
      </c>
      <c r="M7" s="5" t="inlineStr">
        <is>
          <t>Ve 6 opciones y no aparecen Registrar Alumno, Control de Inasistencias ni Subir Notas</t>
        </is>
      </c>
    </row>
    <row r="8">
      <c r="A8" s="4" t="inlineStr">
        <is>
          <t>HU0002</t>
        </is>
      </c>
      <c r="B8" s="5" t="inlineStr"/>
      <c r="C8" s="5" t="inlineStr"/>
      <c r="D8" s="5" t="inlineStr"/>
      <c r="E8" s="5" t="inlineStr"/>
      <c r="F8" s="5" t="inlineStr"/>
      <c r="G8" s="5" t="inlineStr"/>
      <c r="H8" s="7" t="n">
        <v>3</v>
      </c>
      <c r="I8" s="7">
        <f>CONCATENATE(A8,"-",H8)</f>
        <v/>
      </c>
      <c r="J8" s="8" t="inlineStr">
        <is>
          <t>Acceso a la API sin sesión</t>
        </is>
      </c>
      <c r="K8" s="5" t="inlineStr">
        <is>
          <t>No existe una sesión iniciada</t>
        </is>
      </c>
      <c r="L8" s="5" t="inlineStr">
        <is>
          <t>Se solicita un recurso protegido de la API</t>
        </is>
      </c>
      <c r="M8" s="5" t="inlineStr">
        <is>
          <t>El sistema responde 401 y no entrega ningún dato</t>
        </is>
      </c>
    </row>
    <row r="9">
      <c r="A9" s="4" t="inlineStr">
        <is>
          <t>HU0003</t>
        </is>
      </c>
      <c r="B9" s="5" t="inlineStr">
        <is>
          <t>Usuario del sistema</t>
        </is>
      </c>
      <c r="C9" s="5" t="inlineStr">
        <is>
          <t>Necesito:</t>
        </is>
      </c>
      <c r="D9" s="5" t="inlineStr">
        <is>
          <t>cerrar mi sesión cuando termino de trabajar</t>
        </is>
      </c>
      <c r="E9" s="5" t="inlineStr">
        <is>
          <t>Con la finalidad de:</t>
        </is>
      </c>
      <c r="F9" s="5" t="inlineStr">
        <is>
          <t>impedir que otra persona use mi acceso</t>
        </is>
      </c>
      <c r="G9" s="5">
        <f>CONCATENATE("Como ",B9," quiero ",D9," para ",F9)</f>
        <v/>
      </c>
      <c r="H9" s="7" t="n">
        <v>1</v>
      </c>
      <c r="I9" s="7">
        <f>CONCATENATE(A9,"-",H9)</f>
        <v/>
      </c>
      <c r="J9" s="8" t="inlineStr">
        <is>
          <t>Cierre confirmado</t>
        </is>
      </c>
      <c r="K9" s="5" t="inlineStr">
        <is>
          <t>El usuario tiene una sesión abierta</t>
        </is>
      </c>
      <c r="L9" s="5" t="inlineStr">
        <is>
          <t>Pulsa «Cerrar Sesión» y confirma en el diálogo</t>
        </is>
      </c>
      <c r="M9" s="5" t="inlineStr">
        <is>
          <t>El sistema invalida el token, limpia los datos en memoria y vuelve al acceso</t>
        </is>
      </c>
    </row>
    <row r="10">
      <c r="A10" s="4" t="inlineStr">
        <is>
          <t>HU0003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7" t="n">
        <v>2</v>
      </c>
      <c r="I10" s="7">
        <f>CONCATENATE(A10,"-",H10)</f>
        <v/>
      </c>
      <c r="J10" s="8" t="inlineStr">
        <is>
          <t>Cierre cancelado</t>
        </is>
      </c>
      <c r="K10" s="5" t="inlineStr">
        <is>
          <t>El usuario tiene una sesión abierta</t>
        </is>
      </c>
      <c r="L10" s="5" t="inlineStr">
        <is>
          <t>Pulsa «Cerrar Sesión» y cancela el diálogo</t>
        </is>
      </c>
      <c r="M10" s="5" t="inlineStr">
        <is>
          <t>La sesión continúa abierta y no se pierde el trabajo en curso</t>
        </is>
      </c>
    </row>
    <row r="11">
      <c r="A11" s="4" t="inlineStr">
        <is>
          <t>HU0004</t>
        </is>
      </c>
      <c r="B11" s="5" t="inlineStr">
        <is>
          <t>Docente o Administrador</t>
        </is>
      </c>
      <c r="C11" s="5" t="inlineStr">
        <is>
          <t>Necesito:</t>
        </is>
      </c>
      <c r="D11" s="5" t="inlineStr">
        <is>
          <t>registrar un estudiante con su nivel, grado y documento de identidad</t>
        </is>
      </c>
      <c r="E11" s="5" t="inlineStr">
        <is>
          <t>Con la finalidad de:</t>
        </is>
      </c>
      <c r="F11" s="5" t="inlineStr">
        <is>
          <t>incorporarlo al seguimiento académico y psicoeducativo</t>
        </is>
      </c>
      <c r="G11" s="5">
        <f>CONCATENATE("Como ",B11," quiero ",D11," para ",F11)</f>
        <v/>
      </c>
      <c r="H11" s="7" t="n">
        <v>1</v>
      </c>
      <c r="I11" s="7">
        <f>CONCATENATE(A11,"-",H11)</f>
        <v/>
      </c>
      <c r="J11" s="8" t="inlineStr">
        <is>
          <t>Registro exitoso</t>
        </is>
      </c>
      <c r="K11" s="5" t="inlineStr">
        <is>
          <t>El usuario está en el formulario de registro con datos válidos</t>
        </is>
      </c>
      <c r="L11" s="5" t="inlineStr">
        <is>
          <t>Completa nombre, apellido, edad, nivel, grado, contacto y documento, y confirma</t>
        </is>
      </c>
      <c r="M11" s="5" t="inlineStr">
        <is>
          <t>El sistema crea el estudiante, cifra su documento y confirma el registro</t>
        </is>
      </c>
    </row>
    <row r="12">
      <c r="A12" s="4" t="inlineStr">
        <is>
          <t>HU0004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7" t="n">
        <v>2</v>
      </c>
      <c r="I12" s="7">
        <f>CONCATENATE(A12,"-",H12)</f>
        <v/>
      </c>
      <c r="J12" s="8" t="inlineStr">
        <is>
          <t>Nombre con caracteres no permitidos</t>
        </is>
      </c>
      <c r="K12" s="5" t="inlineStr">
        <is>
          <t>El usuario escribe un nombre con signos o etiquetas HTML</t>
        </is>
      </c>
      <c r="L12" s="5" t="inlineStr">
        <is>
          <t>Intenta guardar el formulario</t>
        </is>
      </c>
      <c r="M12" s="5" t="inlineStr">
        <is>
          <t>El sistema rechaza el registro indicando que solo se admiten letras, números, espacios, apóstrofo y guion</t>
        </is>
      </c>
    </row>
    <row r="13">
      <c r="A13" s="4" t="inlineStr">
        <is>
          <t>HU0004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7" t="n">
        <v>3</v>
      </c>
      <c r="I13" s="7">
        <f>CONCATENATE(A13,"-",H13)</f>
        <v/>
      </c>
      <c r="J13" s="8" t="inlineStr">
        <is>
          <t>Grado incompatible con el nivel</t>
        </is>
      </c>
      <c r="K13" s="5" t="inlineStr">
        <is>
          <t>El usuario selecciona Secundaria y grado 6</t>
        </is>
      </c>
      <c r="L13" s="5" t="inlineStr">
        <is>
          <t>Intenta guardar el formulario</t>
        </is>
      </c>
      <c r="M13" s="5" t="inlineStr">
        <is>
          <t>El sistema responde «Secundaria llega hasta 5° grado» y no registra</t>
        </is>
      </c>
    </row>
    <row r="14">
      <c r="A14" s="4" t="inlineStr">
        <is>
          <t>HU0004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7" t="n">
        <v>4</v>
      </c>
      <c r="I14" s="7">
        <f>CONCATENATE(A14,"-",H14)</f>
        <v/>
      </c>
      <c r="J14" s="8" t="inlineStr">
        <is>
          <t>Documento duplicado</t>
        </is>
      </c>
      <c r="K14" s="5" t="inlineStr">
        <is>
          <t>Ya existe un estudiante con ese número de documento</t>
        </is>
      </c>
      <c r="L14" s="5" t="inlineStr">
        <is>
          <t>El usuario intenta registrar otro con el mismo número</t>
        </is>
      </c>
      <c r="M14" s="5" t="inlineStr">
        <is>
          <t>El sistema responde 409 indicando a nombre de quién está registrado</t>
        </is>
      </c>
    </row>
    <row r="15">
      <c r="A15" s="4" t="inlineStr">
        <is>
          <t>HU0004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7" t="n">
        <v>5</v>
      </c>
      <c r="I15" s="7">
        <f>CONCATENATE(A15,"-",H15)</f>
        <v/>
      </c>
      <c r="J15" s="8" t="inlineStr">
        <is>
          <t>Documento con longitud incorrecta</t>
        </is>
      </c>
      <c r="K15" s="5" t="inlineStr">
        <is>
          <t>El usuario elige DNI y escribe 7 dígitos</t>
        </is>
      </c>
      <c r="L15" s="5" t="inlineStr">
        <is>
          <t>Intenta guardar el formulario</t>
        </is>
      </c>
      <c r="M15" s="5" t="inlineStr">
        <is>
          <t>El sistema indica que el DNI debe tener exactamente 8 caracteres</t>
        </is>
      </c>
    </row>
    <row r="16">
      <c r="A16" s="4" t="inlineStr">
        <is>
          <t>HU0005</t>
        </is>
      </c>
      <c r="B16" s="5" t="inlineStr">
        <is>
          <t>Usuario del sistema</t>
        </is>
      </c>
      <c r="C16" s="5" t="inlineStr">
        <is>
          <t>Necesito:</t>
        </is>
      </c>
      <c r="D16" s="5" t="inlineStr">
        <is>
          <t>consultar la lista de estudiantes registrados</t>
        </is>
      </c>
      <c r="E16" s="5" t="inlineStr">
        <is>
          <t>Con la finalidad de:</t>
        </is>
      </c>
      <c r="F16" s="5" t="inlineStr">
        <is>
          <t>revisar su información y su estado de evaluación</t>
        </is>
      </c>
      <c r="G16" s="5">
        <f>CONCATENATE("Como ",B16," quiero ",D16," para ",F16)</f>
        <v/>
      </c>
      <c r="H16" s="7" t="n">
        <v>1</v>
      </c>
      <c r="I16" s="7">
        <f>CONCATENATE(A16,"-",H16)</f>
        <v/>
      </c>
      <c r="J16" s="8" t="inlineStr">
        <is>
          <t>Listado con estado</t>
        </is>
      </c>
      <c r="K16" s="5" t="inlineStr">
        <is>
          <t>Existen estudiantes registrados</t>
        </is>
      </c>
      <c r="L16" s="5" t="inlineStr">
        <is>
          <t>El usuario abre «Listado de Alumnos»</t>
        </is>
      </c>
      <c r="M16" s="5" t="inlineStr">
        <is>
          <t>El sistema muestra id, nombre, grado, edad, documento enmascarado, inasistencias y estado</t>
        </is>
      </c>
    </row>
    <row r="17">
      <c r="A17" s="4" t="inlineStr">
        <is>
          <t>HU0005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7" t="n">
        <v>2</v>
      </c>
      <c r="I17" s="7">
        <f>CONCATENATE(A17,"-",H17)</f>
        <v/>
      </c>
      <c r="J17" s="8" t="inlineStr">
        <is>
          <t>Documento enmascarado</t>
        </is>
      </c>
      <c r="K17" s="5" t="inlineStr">
        <is>
          <t>Un estudiante tiene documento registrado</t>
        </is>
      </c>
      <c r="L17" s="5" t="inlineStr">
        <is>
          <t>El usuario observa la columna Documento</t>
        </is>
      </c>
      <c r="M17" s="5" t="inlineStr">
        <is>
          <t>Solo se ven los cuatro últimos caracteres; el resto aparece oculto</t>
        </is>
      </c>
    </row>
    <row r="18">
      <c r="A18" s="4" t="inlineStr">
        <is>
          <t>HU0005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7" t="n">
        <v>3</v>
      </c>
      <c r="I18" s="7">
        <f>CONCATENATE(A18,"-",H18)</f>
        <v/>
      </c>
      <c r="J18" s="8" t="inlineStr">
        <is>
          <t>Revelar el documento completo</t>
        </is>
      </c>
      <c r="K18" s="5" t="inlineStr">
        <is>
          <t>El usuario abre la ficha de un estudiante</t>
        </is>
      </c>
      <c r="L18" s="5" t="inlineStr">
        <is>
          <t>Pulsa «Mostrar» junto al documento</t>
        </is>
      </c>
      <c r="M18" s="5" t="inlineStr">
        <is>
          <t>El sistema descifra y muestra el número completo en una petición aparte</t>
        </is>
      </c>
    </row>
    <row r="19">
      <c r="A19" s="4" t="inlineStr">
        <is>
          <t>HU0006</t>
        </is>
      </c>
      <c r="B19" s="5" t="inlineStr">
        <is>
          <t>Docente o Administrador</t>
        </is>
      </c>
      <c r="C19" s="5" t="inlineStr">
        <is>
          <t>Necesito:</t>
        </is>
      </c>
      <c r="D19" s="5" t="inlineStr">
        <is>
          <t>modificar los datos de un estudiante ya registrado</t>
        </is>
      </c>
      <c r="E19" s="5" t="inlineStr">
        <is>
          <t>Con la finalidad de:</t>
        </is>
      </c>
      <c r="F19" s="5" t="inlineStr">
        <is>
          <t>mantener su información al día</t>
        </is>
      </c>
      <c r="G19" s="5">
        <f>CONCATENATE("Como ",B19," quiero ",D19," para ",F19)</f>
        <v/>
      </c>
      <c r="H19" s="7" t="n">
        <v>1</v>
      </c>
      <c r="I19" s="7">
        <f>CONCATENATE(A19,"-",H19)</f>
        <v/>
      </c>
      <c r="J19" s="8" t="inlineStr">
        <is>
          <t>Edicion exitosa y verificable</t>
        </is>
      </c>
      <c r="K19" s="5" t="inlineStr">
        <is>
          <t>El usuario abre la edicion de un estudiante ya registrado</t>
        </is>
      </c>
      <c r="L19" s="5" t="inlineStr">
        <is>
          <t>Modifica uno o varios de los campos editables (nombre, apellido, edad, nivel, grado, ano de cursada, genero, contacto de emergencia, tipo y numero de documento) y confirma en el dialogo</t>
        </is>
      </c>
      <c r="M19" s="5" t="inlineStr">
        <is>
          <t>El sistema guarda los cambios, muestra «Alumno actualizado correctamente» y el listado refleja de inmediato los valores nuevos, de modo que el resultado se puede verificar sin recargar la pagina</t>
        </is>
      </c>
    </row>
    <row r="20">
      <c r="A20" s="4" t="inlineStr">
        <is>
          <t>HU0006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7" t="n">
        <v>2</v>
      </c>
      <c r="I20" s="7">
        <f>CONCATENATE(A20,"-",H20)</f>
        <v/>
      </c>
      <c r="J20" s="8" t="inlineStr">
        <is>
          <t>Detalle de los cambios</t>
        </is>
      </c>
      <c r="K20" s="5" t="inlineStr">
        <is>
          <t>El usuario ha modificado varios campos</t>
        </is>
      </c>
      <c r="L20" s="5" t="inlineStr">
        <is>
          <t>Pulsa «Guardar»</t>
        </is>
      </c>
      <c r="M20" s="5" t="inlineStr">
        <is>
          <t>El diálogo enumera únicamente los campos que cambian, con su valor anterior y el nuevo</t>
        </is>
      </c>
    </row>
    <row r="21">
      <c r="A21" s="4" t="inlineStr">
        <is>
          <t>HU0006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7" t="n">
        <v>3</v>
      </c>
      <c r="I21" s="7">
        <f>CONCATENATE(A21,"-",H21)</f>
        <v/>
      </c>
      <c r="J21" s="8" t="inlineStr">
        <is>
          <t>Sin cambios que guardar</t>
        </is>
      </c>
      <c r="K21" s="5" t="inlineStr">
        <is>
          <t>El usuario abre la edición y no modifica nada</t>
        </is>
      </c>
      <c r="L21" s="5" t="inlineStr">
        <is>
          <t>Pulsa «Guardar»</t>
        </is>
      </c>
      <c r="M21" s="5" t="inlineStr">
        <is>
          <t>El sistema avisa de que no hay cambios y no envía la petición</t>
        </is>
      </c>
    </row>
    <row r="22">
      <c r="A22" t="inlineStr">
        <is>
          <t>HU0006</t>
        </is>
      </c>
      <c r="H22" t="n">
        <v>4</v>
      </c>
      <c r="I22">
        <f>CONCATENATE(A22,"-",H22)</f>
        <v/>
      </c>
      <c r="J22" t="inlineStr">
        <is>
          <t>Validacion al editar</t>
        </is>
      </c>
      <c r="K22" t="inlineStr">
        <is>
          <t>El usuario esta editando un estudiante</t>
        </is>
      </c>
      <c r="L22" t="inlineStr">
        <is>
          <t>Escribe una edad fuera del rango 11-12, o un grado que no corresponde al nivel elegido</t>
        </is>
      </c>
      <c r="M22" t="inlineStr">
        <is>
          <t>El sistema rechaza el guardado —422 cuando el valor incumple el formato del campo, como una edad fuera de 11-12; 400 cuando la combinacion no es valida, como un grado que no corresponde al nivel— explicando el motivo, y los datos anteriores del estudiante permanecen sin cambios</t>
        </is>
      </c>
    </row>
    <row r="23">
      <c r="A23" t="inlineStr">
        <is>
          <t>HU0006</t>
        </is>
      </c>
      <c r="H23" t="n">
        <v>5</v>
      </c>
      <c r="I23">
        <f>CONCATENATE(A23,"-",H23)</f>
        <v/>
      </c>
      <c r="J23" t="inlineStr">
        <is>
          <t>Cancelacion de la edicion</t>
        </is>
      </c>
      <c r="K23" t="inlineStr">
        <is>
          <t>El usuario ha modificado campos pero aun no ha confirmado</t>
        </is>
      </c>
      <c r="L23" t="inlineStr">
        <is>
          <t>Pulsa «Cancelar» o cierra el dialogo con Escape</t>
        </is>
      </c>
      <c r="M23" t="inlineStr">
        <is>
          <t>No se envia ninguna peticion y el estudiante conserva sus valores originales</t>
        </is>
      </c>
    </row>
    <row r="24">
      <c r="A24" s="4" t="inlineStr">
        <is>
          <t>HU0007</t>
        </is>
      </c>
      <c r="B24" s="5" t="inlineStr">
        <is>
          <t>Docente o Administrador</t>
        </is>
      </c>
      <c r="C24" s="5" t="inlineStr">
        <is>
          <t>Necesito:</t>
        </is>
      </c>
      <c r="D24" s="5" t="inlineStr">
        <is>
          <t>eliminar un estudiante que se registró por error</t>
        </is>
      </c>
      <c r="E24" s="5" t="inlineStr">
        <is>
          <t>Con la finalidad de:</t>
        </is>
      </c>
      <c r="F24" s="5" t="inlineStr">
        <is>
          <t>mantener limpio el padrón sin perder información válida</t>
        </is>
      </c>
      <c r="G24" s="5">
        <f>CONCATENATE("Como ",B24," quiero ",D24," para ",F24)</f>
        <v/>
      </c>
      <c r="H24" s="7" t="n">
        <v>1</v>
      </c>
      <c r="I24" s="7">
        <f>CONCATENATE(A24,"-",H24)</f>
        <v/>
      </c>
      <c r="J24" s="8" t="inlineStr">
        <is>
          <t>Eliminacion de un registro sin historial</t>
        </is>
      </c>
      <c r="K24" s="5" t="inlineStr">
        <is>
          <t>El estudiante seleccionado no tiene notas, encuestas, predicciones ni expediente</t>
        </is>
      </c>
      <c r="L24" s="5" t="inlineStr">
        <is>
          <t>El usuario pulsa «Eliminar» y confirma en el dialogo</t>
        </is>
      </c>
      <c r="M24" s="5" t="inlineStr">
        <is>
          <t>El sistema responde 204, retira al estudiante del listado y el total de registrados disminuye en uno</t>
        </is>
      </c>
    </row>
    <row r="25">
      <c r="A25" s="4" t="inlineStr">
        <is>
          <t>HU0007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7" t="n">
        <v>2</v>
      </c>
      <c r="I25" s="7">
        <f>CONCATENATE(A25,"-",H25)</f>
        <v/>
      </c>
      <c r="J25" s="8" t="inlineStr">
        <is>
          <t>Eliminacion bloqueada, sin borrado en cascada</t>
        </is>
      </c>
      <c r="K25" s="5" t="inlineStr">
        <is>
          <t>El estudiante tiene notas, encuestas o predicciones registradas</t>
        </is>
      </c>
      <c r="L25" s="5" t="inlineStr">
        <is>
          <t>El usuario pulsa «Eliminar» y confirma</t>
        </is>
      </c>
      <c r="M25" s="5" t="inlineStr">
        <is>
          <t>El sistema responde 409 SIN borrar nada: ni el estudiante ni sus notas, encuestas, predicciones, inasistencias o expediente. El mensaje enumera cuantos registros de cada tipo lo impiden. Para darlo de baja hay que retirar antes ese historial de forma deliberada</t>
        </is>
      </c>
    </row>
    <row r="26">
      <c r="A26" s="4" t="inlineStr">
        <is>
          <t>HU0007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7" t="n">
        <v>3</v>
      </c>
      <c r="I26" s="7">
        <f>CONCATENATE(A26,"-",H26)</f>
        <v/>
      </c>
      <c r="J26" s="8" t="inlineStr">
        <is>
          <t>Aviso previo en la interfaz</t>
        </is>
      </c>
      <c r="K26" s="5" t="inlineStr">
        <is>
          <t>El estudiante tiene historial asociado</t>
        </is>
      </c>
      <c r="L26" s="5" t="inlineStr">
        <is>
          <t>El usuario pulsa «Eliminar»</t>
        </is>
      </c>
      <c r="M26" s="5" t="inlineStr">
        <is>
          <t>El diálogo advierte de que no se podrá eliminar antes de que el usuario confirme</t>
        </is>
      </c>
    </row>
    <row r="27">
      <c r="A27" t="inlineStr">
        <is>
          <t>HU0007</t>
        </is>
      </c>
      <c r="H27" t="n">
        <v>4</v>
      </c>
      <c r="I27">
        <f>CONCATENATE(A27,"-",H27)</f>
        <v/>
      </c>
      <c r="J27" t="inlineStr">
        <is>
          <t>Cancelacion de la eliminacion</t>
        </is>
      </c>
      <c r="K27" t="inlineStr">
        <is>
          <t>El dialogo de confirmacion de borrado esta abierto</t>
        </is>
      </c>
      <c r="L27" t="inlineStr">
        <is>
          <t>El usuario pulsa «Cancelar» o la tecla Escape</t>
        </is>
      </c>
      <c r="M27" t="inlineStr">
        <is>
          <t>No se envia ninguna peticion, el estudiante sigue registrado y el listado no cambia. El foco inicial del dialogo esta en «Cancelar» para que un Enter accidental no ejecute el borrado</t>
        </is>
      </c>
    </row>
    <row r="28">
      <c r="A28" s="4" t="inlineStr">
        <is>
          <t>HU0008</t>
        </is>
      </c>
      <c r="B28" s="5" t="inlineStr">
        <is>
          <t>Psicólogo</t>
        </is>
      </c>
      <c r="C28" s="5" t="inlineStr">
        <is>
          <t>Necesito:</t>
        </is>
      </c>
      <c r="D28" s="5" t="inlineStr">
        <is>
          <t>registrar los 20 ítems de la escala EDAH de un estudiante</t>
        </is>
      </c>
      <c r="E28" s="5" t="inlineStr">
        <is>
          <t>Con la finalidad de:</t>
        </is>
      </c>
      <c r="F28" s="5" t="inlineStr">
        <is>
          <t>obtener la estimación de probabilidad de TDAH</t>
        </is>
      </c>
      <c r="G28" s="5">
        <f>CONCATENATE("Como ",B28," quiero ",D28," para ",F28)</f>
        <v/>
      </c>
      <c r="H28" s="7" t="n">
        <v>1</v>
      </c>
      <c r="I28" s="7">
        <f>CONCATENATE(A28,"-",H28)</f>
        <v/>
      </c>
      <c r="J28" s="8" t="inlineStr">
        <is>
          <t>Encuesta completa</t>
        </is>
      </c>
      <c r="K28" s="5" t="inlineStr">
        <is>
          <t>El psicólogo selecciona un estudiante y responde los 20 ítems</t>
        </is>
      </c>
      <c r="L28" s="5" t="inlineStr">
        <is>
          <t>Confirma el guardado en el diálogo</t>
        </is>
      </c>
      <c r="M28" s="5" t="inlineStr">
        <is>
          <t>El sistema guarda la encuesta y habilita la generación de la predicción</t>
        </is>
      </c>
    </row>
    <row r="29">
      <c r="A29" s="4" t="inlineStr">
        <is>
          <t>HU0008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7" t="n">
        <v>2</v>
      </c>
      <c r="I29" s="7">
        <f>CONCATENATE(A29,"-",H29)</f>
        <v/>
      </c>
      <c r="J29" s="8" t="inlineStr">
        <is>
          <t>Item fuera de la escala EDAH</t>
        </is>
      </c>
      <c r="K29" s="5" t="inlineStr">
        <is>
          <t>Se envia un item con un valor distinto de 0, 1, 2 o 3</t>
        </is>
      </c>
      <c r="L29" s="5" t="inlineStr">
        <is>
          <t>Se intenta guardar la encuesta</t>
        </is>
      </c>
      <c r="M29" s="5" t="inlineStr">
        <is>
          <t>El sistema rechaza el envio con 422 indicando que los items solo admiten valores de 0 a 3. Los totales por subescala (DA, HI, TC) los calcula el sistema al guardar; no son campos que el usuario introduzca ni pueda corregir</t>
        </is>
      </c>
    </row>
    <row r="30">
      <c r="A30" s="4" t="inlineStr">
        <is>
          <t>HU0008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7" t="n">
        <v>3</v>
      </c>
      <c r="I30" s="7">
        <f>CONCATENATE(A30,"-",H30)</f>
        <v/>
      </c>
      <c r="J30" s="8" t="inlineStr">
        <is>
          <t>No se admite una encuesta incompleta</t>
        </is>
      </c>
      <c r="K30" s="5" t="inlineStr">
        <is>
          <t>Falta por responder al menos uno de los 20 items</t>
        </is>
      </c>
      <c r="L30" s="5" t="inlineStr">
        <is>
          <t>Se intenta guardar la encuesta</t>
        </is>
      </c>
      <c r="M30" s="5" t="inlineStr">
        <is>
          <t>El sistema rechaza el guardado con 422 y no almacena nada parcial: el EDAH solo es interpretable completo, y una encuesta a medias produciria una puntuacion falsamente baja. No existe la figura de borrador</t>
        </is>
      </c>
    </row>
    <row r="31">
      <c r="A31" s="4" t="inlineStr">
        <is>
          <t>HU0008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7" t="n">
        <v>4</v>
      </c>
      <c r="I31" s="7">
        <f>CONCATENATE(A31,"-",H31)</f>
        <v/>
      </c>
      <c r="J31" s="8" t="inlineStr">
        <is>
          <t>Estudiante inexistente</t>
        </is>
      </c>
      <c r="K31" s="5" t="inlineStr">
        <is>
          <t>Se envía la encuesta con un identificador de estudiante que no existe</t>
        </is>
      </c>
      <c r="L31" s="5" t="inlineStr">
        <is>
          <t>Se intenta guardar</t>
        </is>
      </c>
      <c r="M31" s="5" t="inlineStr">
        <is>
          <t>El sistema responde 404 «Alumno no encontrado»</t>
        </is>
      </c>
    </row>
    <row r="32">
      <c r="A32" t="inlineStr">
        <is>
          <t>HU0008</t>
        </is>
      </c>
      <c r="H32" t="n">
        <v>5</v>
      </c>
      <c r="I32">
        <f>CONCATENATE(A32,"-",H32)</f>
        <v/>
      </c>
      <c r="J32" t="inlineStr">
        <is>
          <t>Se registra quien responde la escala</t>
        </is>
      </c>
      <c r="K32" t="inlineStr">
        <is>
          <t>El EDAH lo responde un adulto que observa al estudiante a diario, no el propio estudiante</t>
        </is>
      </c>
      <c r="L32" t="inlineStr">
        <is>
          <t>Se guarda la encuesta indicando el informante: docente, familiar o psicologo por observacion directa</t>
        </is>
      </c>
      <c r="M32" t="inlineStr">
        <is>
          <t>El sistema almacena el informante junto a la encuesta y lo muestra al consultarla. Una misma puntuacion no se interpreta igual segun quien la responda, porque la conducta en clase y en casa no son lo mismo</t>
        </is>
      </c>
    </row>
    <row r="33">
      <c r="A33" t="inlineStr">
        <is>
          <t>HU0008</t>
        </is>
      </c>
      <c r="H33" t="n">
        <v>6</v>
      </c>
      <c r="I33">
        <f>CONCATENATE(A33,"-",H33)</f>
        <v/>
      </c>
      <c r="J33" t="inlineStr">
        <is>
          <t>Informante no admitido</t>
        </is>
      </c>
      <c r="K33" t="inlineStr">
        <is>
          <t>Se envia un informante que no esta en la lista prevista</t>
        </is>
      </c>
      <c r="L33" t="inlineStr">
        <is>
          <t>Se intenta guardar la encuesta</t>
        </is>
      </c>
      <c r="M33" t="inlineStr">
        <is>
          <t>El sistema rechaza el envio con 422 y enumera los informantes admitidos</t>
        </is>
      </c>
    </row>
    <row r="34">
      <c r="A34" t="inlineStr">
        <is>
          <t>HU0008</t>
        </is>
      </c>
      <c r="H34" t="n">
        <v>7</v>
      </c>
      <c r="I34">
        <f>CONCATENATE(A34,"-",H34)</f>
        <v/>
      </c>
      <c r="J34" t="inlineStr">
        <is>
          <t>Reaplicacion: se usa siempre la mas reciente</t>
        </is>
      </c>
      <c r="K34" t="inlineStr">
        <is>
          <t>El estudiante ya tiene una encuesta registrada</t>
        </is>
      </c>
      <c r="L34" t="inlineStr">
        <is>
          <t>Se registra una encuesta nueva para el mismo estudiante</t>
        </is>
      </c>
      <c r="M34" t="inlineStr">
        <is>
          <t>El sistema NO sobrescribe la anterior: la conserva y anade la nueva, porque el EDAH se reaplica en el tiempo y comparar dos momentos es parte de la evaluacion. Las predicciones usan siempre la mas reciente por fecha, y a igualdad de fecha la ultima registrada. Una encuesta guardada no se puede corregir: si hubo un error, se aplica de nuevo</t>
        </is>
      </c>
    </row>
    <row r="35">
      <c r="A35" s="4" t="inlineStr">
        <is>
          <t>HU0009</t>
        </is>
      </c>
      <c r="B35" s="5" t="inlineStr">
        <is>
          <t>Docente</t>
        </is>
      </c>
      <c r="C35" s="5" t="inlineStr">
        <is>
          <t>Necesito:</t>
        </is>
      </c>
      <c r="D35" s="5" t="inlineStr">
        <is>
          <t>registrar los días de inasistencia acumulados de un estudiante</t>
        </is>
      </c>
      <c r="E35" s="5" t="inlineStr">
        <is>
          <t>Con la finalidad de:</t>
        </is>
      </c>
      <c r="F35" s="5" t="inlineStr">
        <is>
          <t>que el modelo de riesgo académico los tenga en cuenta</t>
        </is>
      </c>
      <c r="G35" s="5">
        <f>CONCATENATE("Como ",B35," quiero ",D35," para ",F35)</f>
        <v/>
      </c>
      <c r="H35" s="7" t="n">
        <v>1</v>
      </c>
      <c r="I35" s="7">
        <f>CONCATENATE(A35,"-",H35)</f>
        <v/>
      </c>
      <c r="J35" s="8" t="inlineStr">
        <is>
          <t>Registro de los dias del ano lectivo</t>
        </is>
      </c>
      <c r="K35" s="5" t="inlineStr">
        <is>
          <t>El docente selecciona un estudiante y consulta su valor vigente</t>
        </is>
      </c>
      <c r="L35" s="5" t="inlineStr">
        <is>
          <t>Escribe los dias de inasistencia acumulados en el ano lectivo y confirma</t>
        </is>
      </c>
      <c r="M35" s="5" t="inlineStr">
        <is>
          <t>El sistema guarda el valor, deja constancia del cambio en el historial y recalcula la prediccion. La interfaz indica que el periodo es el ano lectivo completo, no el bimestre, y que el maximo admitido es 365 dias</t>
        </is>
      </c>
    </row>
    <row r="36">
      <c r="A36" s="4" t="inlineStr">
        <is>
          <t>HU0009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7" t="n">
        <v>2</v>
      </c>
      <c r="I36" s="7">
        <f>CONCATENATE(A36,"-",H36)</f>
        <v/>
      </c>
      <c r="J36" s="8" t="inlineStr">
        <is>
          <t>Valor negativo</t>
        </is>
      </c>
      <c r="K36" s="5" t="inlineStr">
        <is>
          <t>El docente escribe un número negativo</t>
        </is>
      </c>
      <c r="L36" s="5" t="inlineStr">
        <is>
          <t>Intenta guardar</t>
        </is>
      </c>
      <c r="M36" s="5" t="inlineStr">
        <is>
          <t>El sistema rechaza el valor: debe ser un entero mayor o igual a 0</t>
        </is>
      </c>
    </row>
    <row r="37">
      <c r="A37" s="4" t="inlineStr">
        <is>
          <t>HU0009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7" t="n">
        <v>3</v>
      </c>
      <c r="I37" s="7">
        <f>CONCATENATE(A37,"-",H37)</f>
        <v/>
      </c>
      <c r="J37" s="8" t="inlineStr">
        <is>
          <t>Valor por encima del año lectivo</t>
        </is>
      </c>
      <c r="K37" s="5" t="inlineStr">
        <is>
          <t>El docente escribe 366 días</t>
        </is>
      </c>
      <c r="L37" s="5" t="inlineStr">
        <is>
          <t>Intenta guardar</t>
        </is>
      </c>
      <c r="M37" s="5" t="inlineStr">
        <is>
          <t>El sistema rechaza el valor por superar el máximo de 365</t>
        </is>
      </c>
    </row>
    <row r="38">
      <c r="A38" s="4" t="inlineStr">
        <is>
          <t>HU0009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7" t="n">
        <v>4</v>
      </c>
      <c r="I38" s="7">
        <f>CONCATENATE(A38,"-",H38)</f>
        <v/>
      </c>
      <c r="J38" s="8" t="inlineStr">
        <is>
          <t>Estudiante sin encuesta EDAH</t>
        </is>
      </c>
      <c r="K38" s="5" t="inlineStr">
        <is>
          <t>El estudiante no tiene encuesta registrada</t>
        </is>
      </c>
      <c r="L38" s="5" t="inlineStr">
        <is>
          <t>El docente guarda sus inasistencias</t>
        </is>
      </c>
      <c r="M38" s="5" t="inlineStr">
        <is>
          <t>El sistema guarda el valor e informa de que la predicción se generará cuando exista la encuesta</t>
        </is>
      </c>
    </row>
    <row r="39">
      <c r="A39" t="inlineStr">
        <is>
          <t>HU0009</t>
        </is>
      </c>
      <c r="H39" t="n">
        <v>5</v>
      </c>
      <c r="I39">
        <f>CONCATENATE(A39,"-",H39)</f>
        <v/>
      </c>
      <c r="J39" t="inlineStr">
        <is>
          <t>Consulta del historial de cambios</t>
        </is>
      </c>
      <c r="K39" t="inlineStr">
        <is>
          <t>El docente selecciona un estudiante en Control de Inasistencias</t>
        </is>
      </c>
      <c r="L39" t="inlineStr">
        <is>
          <t>Consulta el panel de historial</t>
        </is>
      </c>
      <c r="M39" t="inlineStr">
        <is>
          <t>El sistema muestra cada cambio del contador con su valor anterior, el nuevo, la diferencia, la fecha y quien lo registro. Sin esto solo se conservaria el ultimo numero y no habria forma de distinguir una correccion de captura de un empeoramiento real del estudiante</t>
        </is>
      </c>
    </row>
    <row r="40">
      <c r="A40" t="inlineStr">
        <is>
          <t>HU0009</t>
        </is>
      </c>
      <c r="H40" t="n">
        <v>6</v>
      </c>
      <c r="I40">
        <f>CONCATENATE(A40,"-",H40)</f>
        <v/>
      </c>
      <c r="J40" t="inlineStr">
        <is>
          <t>Aviso ante un salto grande</t>
        </is>
      </c>
      <c r="K40" t="inlineStr">
        <is>
          <t>Se registra un cambio de 15 dias o mas en una sola anotacion</t>
        </is>
      </c>
      <c r="L40" t="inlineStr">
        <is>
          <t>El docente consulta el historial</t>
        </is>
      </c>
      <c r="M40" t="inlineStr">
        <is>
          <t>El sistema destaca ese movimiento, porque un salto asi se parece tanto a un mes de ausencias real como a un cero de mas al teclear, y la cifra alimenta el modelo de riesgo</t>
        </is>
      </c>
    </row>
    <row r="41">
      <c r="A41" s="4" t="inlineStr">
        <is>
          <t>HU0010</t>
        </is>
      </c>
      <c r="B41" s="5" t="inlineStr">
        <is>
          <t>Docente</t>
        </is>
      </c>
      <c r="C41" s="5" t="inlineStr">
        <is>
          <t>Necesito:</t>
        </is>
      </c>
      <c r="D41" s="5" t="inlineStr">
        <is>
          <t>registrar las calificaciones literales de cada área curricular</t>
        </is>
      </c>
      <c r="E41" s="5" t="inlineStr">
        <is>
          <t>Con la finalidad de:</t>
        </is>
      </c>
      <c r="F41" s="5" t="inlineStr">
        <is>
          <t>que el promedio alimente la predicción de riesgo académico</t>
        </is>
      </c>
      <c r="G41" s="5">
        <f>CONCATENATE("Como ",B41," quiero ",D41," para ",F41)</f>
        <v/>
      </c>
      <c r="H41" s="7" t="n">
        <v>1</v>
      </c>
      <c r="I41" s="7">
        <f>CONCATENATE(A41,"-",H41)</f>
        <v/>
      </c>
      <c r="J41" s="8" t="inlineStr">
        <is>
          <t>Registro exitoso</t>
        </is>
      </c>
      <c r="K41" s="5" t="inlineStr">
        <is>
          <t>El docente selecciona estudiante y bimestre y completa las notas</t>
        </is>
      </c>
      <c r="L41" s="5" t="inlineStr">
        <is>
          <t>Confirma en el diálogo</t>
        </is>
      </c>
      <c r="M41" s="5" t="inlineStr">
        <is>
          <t>El sistema guarda las notas, calcula el promedio y recalcula el riesgo</t>
        </is>
      </c>
    </row>
    <row r="42">
      <c r="A42" s="4" t="inlineStr">
        <is>
          <t>HU0010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7" t="n">
        <v>2</v>
      </c>
      <c r="I42" s="7">
        <f>CONCATENATE(A42,"-",H42)</f>
        <v/>
      </c>
      <c r="J42" s="8" t="inlineStr">
        <is>
          <t>Calificación no válida</t>
        </is>
      </c>
      <c r="K42" s="5" t="inlineStr">
        <is>
          <t>El docente introduce una calificación distinta de AD, A, B o C</t>
        </is>
      </c>
      <c r="L42" s="5" t="inlineStr">
        <is>
          <t>Intenta guardar</t>
        </is>
      </c>
      <c r="M42" s="5" t="inlineStr">
        <is>
          <t>El sistema rechaza la calificación indicando los valores admitidos</t>
        </is>
      </c>
    </row>
    <row r="43">
      <c r="A43" s="4" t="inlineStr">
        <is>
          <t>HU0010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7" t="n">
        <v>3</v>
      </c>
      <c r="I43" s="7">
        <f>CONCATENATE(A43,"-",H43)</f>
        <v/>
      </c>
      <c r="J43" s="8" t="inlineStr">
        <is>
          <t>Área ajena al plan de estudios</t>
        </is>
      </c>
      <c r="K43" s="5" t="inlineStr">
        <is>
          <t>Se envía un área curricular que no pertenece al Currículo Nacional</t>
        </is>
      </c>
      <c r="L43" s="5" t="inlineStr">
        <is>
          <t>Se intenta guardar la nota</t>
        </is>
      </c>
      <c r="M43" s="5" t="inlineStr">
        <is>
          <t>El sistema rechaza el registro y enumera las áreas válidas</t>
        </is>
      </c>
    </row>
    <row r="44">
      <c r="A44" s="4" t="inlineStr">
        <is>
          <t>HU0010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7" t="n">
        <v>4</v>
      </c>
      <c r="I44" s="7">
        <f>CONCATENATE(A44,"-",H44)</f>
        <v/>
      </c>
      <c r="J44" s="8" t="inlineStr">
        <is>
          <t>Bimestre fuera de rango</t>
        </is>
      </c>
      <c r="K44" s="5" t="inlineStr">
        <is>
          <t>Se envía el bimestre 5</t>
        </is>
      </c>
      <c r="L44" s="5" t="inlineStr">
        <is>
          <t>Se intenta guardar la nota</t>
        </is>
      </c>
      <c r="M44" s="5" t="inlineStr">
        <is>
          <t>El sistema rechaza el valor: solo admite 1, 2, 3 o 4</t>
        </is>
      </c>
    </row>
    <row r="45">
      <c r="A45" s="4" t="inlineStr">
        <is>
          <t>HU0011</t>
        </is>
      </c>
      <c r="B45" s="5" t="inlineStr">
        <is>
          <t>Docente</t>
        </is>
      </c>
      <c r="C45" s="5" t="inlineStr">
        <is>
          <t>Necesito:</t>
        </is>
      </c>
      <c r="D45" s="5" t="inlineStr">
        <is>
          <t>cargar las notas de todo un grado desde un archivo CSV o Excel</t>
        </is>
      </c>
      <c r="E45" s="5" t="inlineStr">
        <is>
          <t>Con la finalidad de:</t>
        </is>
      </c>
      <c r="F45" s="5" t="inlineStr">
        <is>
          <t>ahorrar el registro manual de cientos de calificaciones</t>
        </is>
      </c>
      <c r="G45" s="5">
        <f>CONCATENATE("Como ",B45," quiero ",D45," para ",F45)</f>
        <v/>
      </c>
      <c r="H45" s="7" t="n">
        <v>1</v>
      </c>
      <c r="I45" s="7">
        <f>CONCATENATE(A45,"-",H45)</f>
        <v/>
      </c>
      <c r="J45" s="8" t="inlineStr">
        <is>
          <t>Archivo procesado</t>
        </is>
      </c>
      <c r="K45" s="5" t="inlineStr">
        <is>
          <t>El docente selecciona un archivo con el formato de la plantilla</t>
        </is>
      </c>
      <c r="L45" s="5" t="inlineStr">
        <is>
          <t>Confirma el procesamiento en el diálogo</t>
        </is>
      </c>
      <c r="M45" s="5" t="inlineStr">
        <is>
          <t>El sistema guarda las filas válidas e informa de cuántas se procesaron</t>
        </is>
      </c>
    </row>
    <row r="46">
      <c r="A46" s="4" t="inlineStr">
        <is>
          <t>HU0011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7" t="n">
        <v>2</v>
      </c>
      <c r="I46" s="7">
        <f>CONCATENATE(A46,"-",H46)</f>
        <v/>
      </c>
      <c r="J46" s="8" t="inlineStr">
        <is>
          <t>Validación fila por fila</t>
        </is>
      </c>
      <c r="K46" s="5" t="inlineStr">
        <is>
          <t>El archivo contiene filas correctas y filas con errores</t>
        </is>
      </c>
      <c r="L46" s="5" t="inlineStr">
        <is>
          <t>El docente procesa el archivo</t>
        </is>
      </c>
      <c r="M46" s="5" t="inlineStr">
        <is>
          <t>El sistema guarda las correctas y detalla el motivo del rechazo de cada fila inválida</t>
        </is>
      </c>
    </row>
    <row r="47">
      <c r="A47" s="4" t="inlineStr">
        <is>
          <t>HU0011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7" t="n">
        <v>3</v>
      </c>
      <c r="I47" s="7">
        <f>CONCATENATE(A47,"-",H47)</f>
        <v/>
      </c>
      <c r="J47" s="8" t="inlineStr">
        <is>
          <t>Descarga de la plantilla</t>
        </is>
      </c>
      <c r="K47" s="5" t="inlineStr">
        <is>
          <t>El docente no conoce el formato esperado</t>
        </is>
      </c>
      <c r="L47" s="5" t="inlineStr">
        <is>
          <t>Pulsa «Descargar plantilla»</t>
        </is>
      </c>
      <c r="M47" s="5" t="inlineStr">
        <is>
          <t>El sistema entrega un CSV con las columnas alumno_id, bimestre, asignatura y calificación</t>
        </is>
      </c>
    </row>
    <row r="48">
      <c r="A48" s="4" t="inlineStr">
        <is>
          <t>HU0012</t>
        </is>
      </c>
      <c r="B48" s="5" t="inlineStr">
        <is>
          <t>Usuario del sistema</t>
        </is>
      </c>
      <c r="C48" s="5" t="inlineStr">
        <is>
          <t>Necesito:</t>
        </is>
      </c>
      <c r="D48" s="5" t="inlineStr">
        <is>
          <t>generar la predicción de TDAH y de riesgo académico de un estudiante</t>
        </is>
      </c>
      <c r="E48" s="5" t="inlineStr">
        <is>
          <t>Con la finalidad de:</t>
        </is>
      </c>
      <c r="F48" s="5" t="inlineStr">
        <is>
          <t>identificar a tiempo a quien necesita acompañamiento</t>
        </is>
      </c>
      <c r="G48" s="5">
        <f>CONCATENATE("Como ",B48," quiero ",D48," para ",F48)</f>
        <v/>
      </c>
      <c r="H48" s="7" t="n">
        <v>1</v>
      </c>
      <c r="I48" s="7">
        <f>CONCATENATE(A48,"-",H48)</f>
        <v/>
      </c>
      <c r="J48" s="8" t="inlineStr">
        <is>
          <t>Predicción generada</t>
        </is>
      </c>
      <c r="K48" s="5" t="inlineStr">
        <is>
          <t>El estudiante tiene encuesta EDAH registrada</t>
        </is>
      </c>
      <c r="L48" s="5" t="inlineStr">
        <is>
          <t>El usuario pulsa «Generar predicción» y confirma</t>
        </is>
      </c>
      <c r="M48" s="5" t="inlineStr">
        <is>
          <t>El sistema ejecuta ambos modelos y guarda el resultado en el historial</t>
        </is>
      </c>
    </row>
    <row r="49">
      <c r="A49" s="4" t="inlineStr">
        <is>
          <t>HU0012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7" t="n">
        <v>2</v>
      </c>
      <c r="I49" s="7">
        <f>CONCATENATE(A49,"-",H49)</f>
        <v/>
      </c>
      <c r="J49" s="8" t="inlineStr">
        <is>
          <t>Estudiante sin encuesta</t>
        </is>
      </c>
      <c r="K49" s="5" t="inlineStr">
        <is>
          <t>El estudiante no tiene encuesta EDAH</t>
        </is>
      </c>
      <c r="L49" s="5" t="inlineStr">
        <is>
          <t>El usuario intenta generar la predicción</t>
        </is>
      </c>
      <c r="M49" s="5" t="inlineStr">
        <is>
          <t>El sistema informa de que primero debe registrarse la encuesta</t>
        </is>
      </c>
    </row>
    <row r="50">
      <c r="A50" s="4" t="inlineStr">
        <is>
          <t>HU0012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7" t="n">
        <v>3</v>
      </c>
      <c r="I50" s="7">
        <f>CONCATENATE(A50,"-",H50)</f>
        <v/>
      </c>
      <c r="J50" s="8" t="inlineStr">
        <is>
          <t>Estudiante inexistente</t>
        </is>
      </c>
      <c r="K50" s="5" t="inlineStr">
        <is>
          <t>Se solicita la predicción de un identificador que no existe</t>
        </is>
      </c>
      <c r="L50" s="5" t="inlineStr">
        <is>
          <t>Se envía la petición</t>
        </is>
      </c>
      <c r="M50" s="5" t="inlineStr">
        <is>
          <t>El sistema responde 404 «Alumno no encontrado»</t>
        </is>
      </c>
    </row>
    <row r="51">
      <c r="A51" t="inlineStr">
        <is>
          <t>HU0012</t>
        </is>
      </c>
      <c r="H51" t="n">
        <v>4</v>
      </c>
      <c r="I51">
        <f>CONCATENATE(A51,"-",H51)</f>
        <v/>
      </c>
      <c r="J51" t="inlineStr">
        <is>
          <t>Cualquier rol con acceso puede generarla</t>
        </is>
      </c>
      <c r="K51" t="inlineStr">
        <is>
          <t>Tanto el docente como el psicologo y el administrador tienen la vista de predicciones</t>
        </is>
      </c>
      <c r="L51" t="inlineStr">
        <is>
          <t>Cualquiera de ellos solicita generar la prediccion de un estudiante</t>
        </is>
      </c>
      <c r="M51" t="inlineStr">
        <is>
          <t>El sistema la genera sin distinguir el rol: no es un acto clinico reservado, sino el calculo de un modelo. Ademas se regenera sola cuando cambian las notas o las inasistencias, de modo que tambien la desencadena el docente sin pedirla expresamente</t>
        </is>
      </c>
    </row>
    <row r="52">
      <c r="A52" s="4" t="inlineStr">
        <is>
          <t>HU0013</t>
        </is>
      </c>
      <c r="B52" s="5" t="inlineStr">
        <is>
          <t>Usuario del sistema</t>
        </is>
      </c>
      <c r="C52" s="5" t="inlineStr">
        <is>
          <t>Necesito:</t>
        </is>
      </c>
      <c r="D52" s="5" t="inlineStr">
        <is>
          <t>consultar todas las predicciones registradas de un estudiante</t>
        </is>
      </c>
      <c r="E52" s="5" t="inlineStr">
        <is>
          <t>Con la finalidad de:</t>
        </is>
      </c>
      <c r="F52" s="5" t="inlineStr">
        <is>
          <t>observar su evolución a lo largo del tiempo</t>
        </is>
      </c>
      <c r="G52" s="5">
        <f>CONCATENATE("Como ",B52," quiero ",D52," para ",F52)</f>
        <v/>
      </c>
      <c r="H52" s="7" t="n">
        <v>1</v>
      </c>
      <c r="I52" s="7">
        <f>CONCATENATE(A52,"-",H52)</f>
        <v/>
      </c>
      <c r="J52" s="8" t="inlineStr">
        <is>
          <t>Historial con filtros</t>
        </is>
      </c>
      <c r="K52" s="5" t="inlineStr">
        <is>
          <t>El estudiante tiene varias predicciones registradas</t>
        </is>
      </c>
      <c r="L52" s="5" t="inlineStr">
        <is>
          <t>El usuario abre «Historial de Predicciones» y aplica filtros</t>
        </is>
      </c>
      <c r="M52" s="5" t="inlineStr">
        <is>
          <t>El sistema muestra las predicciones que cumplen los filtros, de la más reciente a la más antigua</t>
        </is>
      </c>
    </row>
    <row r="53">
      <c r="A53" s="4" t="inlineStr">
        <is>
          <t>HU0013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7" t="n">
        <v>2</v>
      </c>
      <c r="I53" s="7">
        <f>CONCATENATE(A53,"-",H53)</f>
        <v/>
      </c>
      <c r="J53" s="8" t="inlineStr">
        <is>
          <t>Estudiante sin predicciones</t>
        </is>
      </c>
      <c r="K53" s="5" t="inlineStr">
        <is>
          <t>El estudiante no tiene ninguna predicción</t>
        </is>
      </c>
      <c r="L53" s="5" t="inlineStr">
        <is>
          <t>El usuario consulta su historial</t>
        </is>
      </c>
      <c r="M53" s="5" t="inlineStr">
        <is>
          <t>El sistema indica que no hay predicciones registradas</t>
        </is>
      </c>
    </row>
    <row r="54">
      <c r="A54" s="4" t="inlineStr">
        <is>
          <t>HU0014</t>
        </is>
      </c>
      <c r="B54" s="5" t="inlineStr">
        <is>
          <t>Psicólogo o Docente</t>
        </is>
      </c>
      <c r="C54" s="5" t="inlineStr">
        <is>
          <t>Necesito:</t>
        </is>
      </c>
      <c r="D54" s="5" t="inlineStr">
        <is>
          <t>conocer qué factores pesaron en la predicción</t>
        </is>
      </c>
      <c r="E54" s="5" t="inlineStr">
        <is>
          <t>Con la finalidad de:</t>
        </is>
      </c>
      <c r="F54" s="5" t="inlineStr">
        <is>
          <t>poder justificar la decisión ante la familia y el colegio</t>
        </is>
      </c>
      <c r="G54" s="5">
        <f>CONCATENATE("Como ",B54," quiero ",D54," para ",F54)</f>
        <v/>
      </c>
      <c r="H54" s="7" t="n">
        <v>1</v>
      </c>
      <c r="I54" s="7">
        <f>CONCATENATE(A54,"-",H54)</f>
        <v/>
      </c>
      <c r="J54" s="8" t="inlineStr">
        <is>
          <t>Explicación por subescalas</t>
        </is>
      </c>
      <c r="K54" s="5" t="inlineStr">
        <is>
          <t>Existe una predicción de TDAH registrada</t>
        </is>
      </c>
      <c r="L54" s="5" t="inlineStr">
        <is>
          <t>El usuario consulta su explicación</t>
        </is>
      </c>
      <c r="M54" s="5" t="inlineStr">
        <is>
          <t>El sistema muestra el aporte de las subescalas de atención, hiperactividad y trastorno de conducta</t>
        </is>
      </c>
    </row>
    <row r="55">
      <c r="A55" s="4" t="inlineStr">
        <is>
          <t>HU0014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7" t="n">
        <v>2</v>
      </c>
      <c r="I55" s="7">
        <f>CONCATENATE(A55,"-",H55)</f>
        <v/>
      </c>
      <c r="J55" s="8" t="inlineStr">
        <is>
          <t>Explicación del riesgo académico</t>
        </is>
      </c>
      <c r="K55" s="5" t="inlineStr">
        <is>
          <t>Existe una predicción de riesgo registrada</t>
        </is>
      </c>
      <c r="L55" s="5" t="inlineStr">
        <is>
          <t>El usuario consulta su explicación</t>
        </is>
      </c>
      <c r="M55" s="5" t="inlineStr">
        <is>
          <t>El sistema muestra el aporte del promedio, las inasistencias y la probabilidad de TDAH</t>
        </is>
      </c>
    </row>
    <row r="56">
      <c r="A56" s="4" t="inlineStr">
        <is>
          <t>HU0014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7" t="n">
        <v>3</v>
      </c>
      <c r="I56" s="7">
        <f>CONCATENATE(A56,"-",H56)</f>
        <v/>
      </c>
      <c r="J56" s="8" t="inlineStr">
        <is>
          <t>Recomendaciones prescriptivas</t>
        </is>
      </c>
      <c r="K56" s="5" t="inlineStr">
        <is>
          <t>Existe una predicción registrada</t>
        </is>
      </c>
      <c r="L56" s="5" t="inlineStr">
        <is>
          <t>El usuario consulta las recomendaciones</t>
        </is>
      </c>
      <c r="M56" s="5" t="inlineStr">
        <is>
          <t>El sistema propone acciones concretas según el nivel de riesgo y la probabilidad de TDAH</t>
        </is>
      </c>
    </row>
    <row r="57">
      <c r="A57" s="4" t="inlineStr">
        <is>
          <t>HU0015</t>
        </is>
      </c>
      <c r="B57" s="5" t="inlineStr">
        <is>
          <t>Usuario del sistema</t>
        </is>
      </c>
      <c r="C57" s="5" t="inlineStr">
        <is>
          <t>Necesito:</t>
        </is>
      </c>
      <c r="D57" s="5" t="inlineStr">
        <is>
          <t>ver el estado general de todos los estudiantes evaluados</t>
        </is>
      </c>
      <c r="E57" s="5" t="inlineStr">
        <is>
          <t>Con la finalidad de:</t>
        </is>
      </c>
      <c r="F57" s="5" t="inlineStr">
        <is>
          <t>priorizar la atención con una visión de conjunto</t>
        </is>
      </c>
      <c r="G57" s="5">
        <f>CONCATENATE("Como ",B57," quiero ",D57," para ",F57)</f>
        <v/>
      </c>
      <c r="H57" s="7" t="n">
        <v>1</v>
      </c>
      <c r="I57" s="7">
        <f>CONCATENATE(A57,"-",H57)</f>
        <v/>
      </c>
      <c r="J57" s="8" t="inlineStr">
        <is>
          <t>Panorama general</t>
        </is>
      </c>
      <c r="K57" s="5" t="inlineStr">
        <is>
          <t>Existen estudiantes con predicciones registradas</t>
        </is>
      </c>
      <c r="L57" s="5" t="inlineStr">
        <is>
          <t>El usuario abre «Dashboard General»</t>
        </is>
      </c>
      <c r="M57" s="5" t="inlineStr">
        <is>
          <t>El sistema muestra los indicadores agregados y la distribución por nivel de riesgo y de TDAH</t>
        </is>
      </c>
    </row>
    <row r="58">
      <c r="A58" s="4" t="inlineStr">
        <is>
          <t>HU0015</t>
        </is>
      </c>
      <c r="B58" s="5" t="inlineStr"/>
      <c r="C58" s="5" t="inlineStr"/>
      <c r="D58" s="5" t="inlineStr"/>
      <c r="E58" s="5" t="inlineStr"/>
      <c r="F58" s="5" t="inlineStr"/>
      <c r="G58" s="5" t="inlineStr"/>
      <c r="H58" s="7" t="n">
        <v>2</v>
      </c>
      <c r="I58" s="7">
        <f>CONCATENATE(A58,"-",H58)</f>
        <v/>
      </c>
      <c r="J58" s="8" t="inlineStr">
        <is>
          <t>Filtros combinados</t>
        </is>
      </c>
      <c r="K58" s="5" t="inlineStr">
        <is>
          <t>El usuario quiere ver solo un subconjunto</t>
        </is>
      </c>
      <c r="L58" s="5" t="inlineStr">
        <is>
          <t>Aplica los filtros de grado, riesgo y probabilidad de TDAH</t>
        </is>
      </c>
      <c r="M58" s="5" t="inlineStr">
        <is>
          <t>El sistema muestra únicamente los estudiantes que cumplen todos los filtros a la vez</t>
        </is>
      </c>
    </row>
    <row r="59">
      <c r="A59" s="4" t="inlineStr">
        <is>
          <t>HU0016</t>
        </is>
      </c>
      <c r="B59" s="5" t="inlineStr">
        <is>
          <t>Usuario del sistema</t>
        </is>
      </c>
      <c r="C59" s="5" t="inlineStr">
        <is>
          <t>Necesito:</t>
        </is>
      </c>
      <c r="D59" s="5" t="inlineStr">
        <is>
          <t>buscar un estudiante y ver su panel individual</t>
        </is>
      </c>
      <c r="E59" s="5" t="inlineStr">
        <is>
          <t>Con la finalidad de:</t>
        </is>
      </c>
      <c r="F59" s="5" t="inlineStr">
        <is>
          <t>revisar su situación concreta sin recorrer toda la lista</t>
        </is>
      </c>
      <c r="G59" s="5">
        <f>CONCATENATE("Como ",B59," quiero ",D59," para ",F59)</f>
        <v/>
      </c>
      <c r="H59" s="7" t="n">
        <v>1</v>
      </c>
      <c r="I59" s="7">
        <f>CONCATENATE(A59,"-",H59)</f>
        <v/>
      </c>
      <c r="J59" s="8" t="inlineStr">
        <is>
          <t>Búsqueda por nombre</t>
        </is>
      </c>
      <c r="K59" s="5" t="inlineStr">
        <is>
          <t>Existen estudiantes registrados</t>
        </is>
      </c>
      <c r="L59" s="5" t="inlineStr">
        <is>
          <t>El usuario escribe un nombre y pulsa «Buscar»</t>
        </is>
      </c>
      <c r="M59" s="5" t="inlineStr">
        <is>
          <t>El sistema acota la lista a los estudiantes cuyo nombre o apellido contiene el texto</t>
        </is>
      </c>
    </row>
    <row r="60">
      <c r="A60" s="4" t="inlineStr">
        <is>
          <t>HU0016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7" t="n">
        <v>2</v>
      </c>
      <c r="I60" s="7">
        <f>CONCATENATE(A60,"-",H60)</f>
        <v/>
      </c>
      <c r="J60" s="8" t="inlineStr">
        <is>
          <t>Cambios sin aplicar</t>
        </is>
      </c>
      <c r="K60" s="5" t="inlineStr">
        <is>
          <t>El usuario modifica un filtro y todavía no pulsa «Buscar»</t>
        </is>
      </c>
      <c r="L60" s="5" t="inlineStr">
        <is>
          <t>Observa la pantalla</t>
        </is>
      </c>
      <c r="M60" s="5" t="inlineStr">
        <is>
          <t>El sistema advierte «Cambios sin aplicar» para que sepa que el resultado aún no se ha actualizado</t>
        </is>
      </c>
    </row>
    <row r="61">
      <c r="A61" s="4" t="inlineStr">
        <is>
          <t>HU0016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7" t="n">
        <v>3</v>
      </c>
      <c r="I61" s="7">
        <f>CONCATENATE(A61,"-",H61)</f>
        <v/>
      </c>
      <c r="J61" s="8" t="inlineStr">
        <is>
          <t>Sin coincidencias</t>
        </is>
      </c>
      <c r="K61" s="5" t="inlineStr">
        <is>
          <t>Ningún estudiante cumple los filtros</t>
        </is>
      </c>
      <c r="L61" s="5" t="inlineStr">
        <is>
          <t>El usuario pulsa «Buscar»</t>
        </is>
      </c>
      <c r="M61" s="5" t="inlineStr">
        <is>
          <t>El sistema informa de que ningún estudiante cumple los filtros y sugiere revisarlos</t>
        </is>
      </c>
    </row>
    <row r="62">
      <c r="A62" s="4" t="inlineStr">
        <is>
          <t>HU0016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7" t="n">
        <v>4</v>
      </c>
      <c r="I62" s="7">
        <f>CONCATENATE(A62,"-",H62)</f>
        <v/>
      </c>
      <c r="J62" s="8" t="inlineStr">
        <is>
          <t>Limpiar filtros</t>
        </is>
      </c>
      <c r="K62" s="5" t="inlineStr">
        <is>
          <t>Hay filtros aplicados</t>
        </is>
      </c>
      <c r="L62" s="5" t="inlineStr">
        <is>
          <t>El usuario pulsa «Limpiar filtros»</t>
        </is>
      </c>
      <c r="M62" s="5" t="inlineStr">
        <is>
          <t>El sistema restablece todos los filtros y vuelve a mostrar la lista completa</t>
        </is>
      </c>
    </row>
    <row r="63">
      <c r="A63" s="4" t="inlineStr">
        <is>
          <t>HU0017</t>
        </is>
      </c>
      <c r="B63" s="5" t="inlineStr">
        <is>
          <t>Psicólogo</t>
        </is>
      </c>
      <c r="C63" s="5" t="inlineStr">
        <is>
          <t>Necesito:</t>
        </is>
      </c>
      <c r="D63" s="5" t="inlineStr">
        <is>
          <t>descargar el expediente completo de un estudiante</t>
        </is>
      </c>
      <c r="E63" s="5" t="inlineStr">
        <is>
          <t>Con la finalidad de:</t>
        </is>
      </c>
      <c r="F63" s="5" t="inlineStr">
        <is>
          <t>archivarlo y compartirlo con la familia</t>
        </is>
      </c>
      <c r="G63" s="5">
        <f>CONCATENATE("Como ",B63," quiero ",D63," para ",F63)</f>
        <v/>
      </c>
      <c r="H63" s="7" t="n">
        <v>1</v>
      </c>
      <c r="I63" s="7">
        <f>CONCATENATE(A63,"-",H63)</f>
        <v/>
      </c>
      <c r="J63" s="8" t="inlineStr">
        <is>
          <t>Descarga exitosa</t>
        </is>
      </c>
      <c r="K63" s="5" t="inlineStr">
        <is>
          <t>El estudiante tiene encuesta y predicción registradas</t>
        </is>
      </c>
      <c r="L63" s="5" t="inlineStr">
        <is>
          <t>El psicólogo pulsa «Descargar Expediente»</t>
        </is>
      </c>
      <c r="M63" s="5" t="inlineStr">
        <is>
          <t>El sistema genera el documento con los datos, los resultados y su explicación</t>
        </is>
      </c>
    </row>
    <row r="64">
      <c r="A64" s="4" t="inlineStr">
        <is>
          <t>HU0017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7" t="n">
        <v>2</v>
      </c>
      <c r="I64" s="7">
        <f>CONCATENATE(A64,"-",H64)</f>
        <v/>
      </c>
      <c r="J64" s="8" t="inlineStr">
        <is>
          <t>Estudiante sin datos suficientes</t>
        </is>
      </c>
      <c r="K64" s="5" t="inlineStr">
        <is>
          <t>El estudiante no tiene predicción registrada</t>
        </is>
      </c>
      <c r="L64" s="5" t="inlineStr">
        <is>
          <t>El psicólogo intenta descargar el expediente</t>
        </is>
      </c>
      <c r="M64" s="5" t="inlineStr">
        <is>
          <t>El sistema informa de qué información falta antes de poder generarlo</t>
        </is>
      </c>
    </row>
    <row r="65">
      <c r="A65" s="4" t="inlineStr">
        <is>
          <t>HU0018</t>
        </is>
      </c>
      <c r="B65" s="5" t="inlineStr">
        <is>
          <t>Administrador</t>
        </is>
      </c>
      <c r="C65" s="5" t="inlineStr">
        <is>
          <t>Necesito:</t>
        </is>
      </c>
      <c r="D65" s="5" t="inlineStr">
        <is>
          <t>que el documento de identidad se guarde cifrado</t>
        </is>
      </c>
      <c r="E65" s="5" t="inlineStr">
        <is>
          <t>Con la finalidad de:</t>
        </is>
      </c>
      <c r="F65" s="5" t="inlineStr">
        <is>
          <t>cumplir la Ley N.° 29733 de protección de datos personales</t>
        </is>
      </c>
      <c r="G65" s="5">
        <f>CONCATENATE("Como ",B65," quiero ",D65," para ",F65)</f>
        <v/>
      </c>
      <c r="H65" s="7" t="n">
        <v>1</v>
      </c>
      <c r="I65" s="7">
        <f>CONCATENATE(A65,"-",H65)</f>
        <v/>
      </c>
      <c r="J65" s="8" t="inlineStr">
        <is>
          <t>Cifrado en la base de datos</t>
        </is>
      </c>
      <c r="K65" s="5" t="inlineStr">
        <is>
          <t>Se registra un estudiante con su documento</t>
        </is>
      </c>
      <c r="L65" s="5" t="inlineStr">
        <is>
          <t>Se consulta directamente la base de datos</t>
        </is>
      </c>
      <c r="M65" s="5" t="inlineStr">
        <is>
          <t>El número no es legible: se almacena cifrado con Fernet</t>
        </is>
      </c>
    </row>
    <row r="66">
      <c r="A66" s="4" t="inlineStr">
        <is>
          <t>HU0018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7" t="n">
        <v>2</v>
      </c>
      <c r="I66" s="7">
        <f>CONCATENATE(A66,"-",H66)</f>
        <v/>
      </c>
      <c r="J66" s="8" t="inlineStr">
        <is>
          <t>Unicidad sin exponer el dato</t>
        </is>
      </c>
      <c r="K66" s="5" t="inlineStr">
        <is>
          <t>Se intenta registrar un documento ya existente</t>
        </is>
      </c>
      <c r="L66" s="5" t="inlineStr">
        <is>
          <t>Se envía el formulario</t>
        </is>
      </c>
      <c r="M66" s="5" t="inlineStr">
        <is>
          <t>El sistema detecta el duplicado mediante una huella irreversible, sin descifrar ningún dato</t>
        </is>
      </c>
    </row>
    <row r="67">
      <c r="A67" s="4" t="inlineStr">
        <is>
          <t>HU0018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7" t="n">
        <v>3</v>
      </c>
      <c r="I67" s="7">
        <f>CONCATENATE(A67,"-",H67)</f>
        <v/>
      </c>
      <c r="J67" s="8" t="inlineStr">
        <is>
          <t>Enmascarado en la interfaz y en la API</t>
        </is>
      </c>
      <c r="K67" s="5" t="inlineStr">
        <is>
          <t>Se consulta el listado de estudiantes</t>
        </is>
      </c>
      <c r="L67" s="5" t="inlineStr">
        <is>
          <t>Se observa la respuesta de la API</t>
        </is>
      </c>
      <c r="M67" s="5" t="inlineStr">
        <is>
          <t>El número completo no viaja en el listado: solo los cuatro últimos caracteres</t>
        </is>
      </c>
    </row>
    <row r="68">
      <c r="A68" s="4" t="inlineStr">
        <is>
          <t>HU0019</t>
        </is>
      </c>
      <c r="B68" s="5" t="inlineStr">
        <is>
          <t>Usuario del sistema</t>
        </is>
      </c>
      <c r="C68" s="5" t="inlineStr">
        <is>
          <t>Necesito:</t>
        </is>
      </c>
      <c r="D68" s="5" t="inlineStr">
        <is>
          <t>que el sistema me pida confirmación antes de modificar datos</t>
        </is>
      </c>
      <c r="E68" s="5" t="inlineStr">
        <is>
          <t>Con la finalidad de:</t>
        </is>
      </c>
      <c r="F68" s="5" t="inlineStr">
        <is>
          <t>evitar cambios accidentales sobre información de menores</t>
        </is>
      </c>
      <c r="G68" s="5">
        <f>CONCATENATE("Como ",B68," quiero ",D68," para ",F68)</f>
        <v/>
      </c>
      <c r="H68" s="7" t="n">
        <v>1</v>
      </c>
      <c r="I68" s="7">
        <f>CONCATENATE(A68,"-",H68)</f>
        <v/>
      </c>
      <c r="J68" s="8" t="inlineStr">
        <is>
          <t>Confirmación antes de guardar</t>
        </is>
      </c>
      <c r="K68" s="5" t="inlineStr">
        <is>
          <t>El usuario completa cualquier formulario que modifica datos</t>
        </is>
      </c>
      <c r="L68" s="5" t="inlineStr">
        <is>
          <t>Pulsa el botón de guardar</t>
        </is>
      </c>
      <c r="M68" s="5" t="inlineStr">
        <is>
          <t>El sistema muestra un diálogo con el detalle de lo que va a ocurrir antes de ejecutarlo</t>
        </is>
      </c>
    </row>
    <row r="69">
      <c r="A69" s="4" t="inlineStr">
        <is>
          <t>HU0019</t>
        </is>
      </c>
      <c r="B69" s="5" t="inlineStr"/>
      <c r="C69" s="5" t="inlineStr"/>
      <c r="D69" s="5" t="inlineStr"/>
      <c r="E69" s="5" t="inlineStr"/>
      <c r="F69" s="5" t="inlineStr"/>
      <c r="G69" s="5" t="inlineStr"/>
      <c r="H69" s="7" t="n">
        <v>2</v>
      </c>
      <c r="I69" s="7">
        <f>CONCATENATE(A69,"-",H69)</f>
        <v/>
      </c>
      <c r="J69" s="8" t="inlineStr">
        <is>
          <t>Cancelación sin efectos</t>
        </is>
      </c>
      <c r="K69" s="5" t="inlineStr">
        <is>
          <t>El diálogo de confirmación está abierto</t>
        </is>
      </c>
      <c r="L69" s="5" t="inlineStr">
        <is>
          <t>El usuario pulsa «Cancelar» o la tecla Escape</t>
        </is>
      </c>
      <c r="M69" s="5" t="inlineStr">
        <is>
          <t>No se envía ninguna petición y los datos permanecen sin cambios</t>
        </is>
      </c>
    </row>
    <row r="70">
      <c r="A70" s="4" t="inlineStr">
        <is>
          <t>HU0019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7" t="n">
        <v>3</v>
      </c>
      <c r="I70" s="7">
        <f>CONCATENATE(A70,"-",H70)</f>
        <v/>
      </c>
      <c r="J70" s="8" t="inlineStr">
        <is>
          <t>Foco en la opción segura</t>
        </is>
      </c>
      <c r="K70" s="5" t="inlineStr">
        <is>
          <t>La acción es destructiva, como eliminar un estudiante</t>
        </is>
      </c>
      <c r="L70" s="5" t="inlineStr">
        <is>
          <t>Se abre el diálogo de confirmación</t>
        </is>
      </c>
      <c r="M70" s="5" t="inlineStr">
        <is>
          <t>El foco inicial se sitúa en «Cancelar», de modo que un Enter accidental no ejecute el borrado</t>
        </is>
      </c>
    </row>
    <row r="71">
      <c r="A71" s="4" t="inlineStr">
        <is>
          <t>HU0020</t>
        </is>
      </c>
      <c r="B71" s="5" t="inlineStr">
        <is>
          <t>Usuario del sistema</t>
        </is>
      </c>
      <c r="C71" s="5" t="inlineStr">
        <is>
          <t>Necesito:</t>
        </is>
      </c>
      <c r="D71" s="5" t="inlineStr">
        <is>
          <t>solicitar el restablecimiento de mi contrasena cuando no puedo entrar</t>
        </is>
      </c>
      <c r="E71" s="5" t="inlineStr">
        <is>
          <t>Con la finalidad de:</t>
        </is>
      </c>
      <c r="F71" s="5" t="inlineStr">
        <is>
          <t>recuperar el acceso sin depender de que alguien recuerde mi clave</t>
        </is>
      </c>
      <c r="G71" s="5">
        <f>CONCATENATE("Como ",B71," quiero ",D71," para ",F71)</f>
        <v/>
      </c>
      <c r="H71" s="7" t="n">
        <v>1</v>
      </c>
      <c r="I71" s="7">
        <f>CONCATENATE(A71,"-",H71)</f>
        <v/>
      </c>
      <c r="J71" s="8" t="inlineStr">
        <is>
          <t>Solicitud registrada</t>
        </is>
      </c>
      <c r="K71" s="5" t="inlineStr">
        <is>
          <t>El usuario olvido su contrasena y esta en la pantalla de acceso</t>
        </is>
      </c>
      <c r="L71" s="5" t="inlineStr">
        <is>
          <t>Pulsa «Olvidaste tu contrasena», escribe su usuario y confirma</t>
        </is>
      </c>
      <c r="M71" s="5" t="inlineStr">
        <is>
          <t>El sistema registra la peticion, la deja pendiente durante 72 horas e indica que debe acudir al administrador; no se envia ningun correo ni mensaje</t>
        </is>
      </c>
    </row>
    <row r="72">
      <c r="A72" s="4" t="inlineStr">
        <is>
          <t>HU0020</t>
        </is>
      </c>
      <c r="B72" s="5" t="n"/>
      <c r="C72" s="5" t="n"/>
      <c r="D72" s="5" t="n"/>
      <c r="E72" s="5" t="n"/>
      <c r="F72" s="5" t="n"/>
      <c r="G72" s="5" t="n"/>
      <c r="H72" s="7" t="n">
        <v>2</v>
      </c>
      <c r="I72" s="7">
        <f>CONCATENATE(A72,"-",H72)</f>
        <v/>
      </c>
      <c r="J72" s="8" t="inlineStr">
        <is>
          <t>La respuesta no revela si la cuenta existe</t>
        </is>
      </c>
      <c r="K72" s="5" t="inlineStr">
        <is>
          <t>Alguien escribe un usuario que no esta registrado</t>
        </is>
      </c>
      <c r="L72" s="5" t="inlineStr">
        <is>
          <t>Envia la solicitud de restablecimiento</t>
        </is>
      </c>
      <c r="M72" s="5" t="inlineStr">
        <is>
          <t>El sistema responde exactamente el mismo mensaje que para una cuenta real, de modo que no se pueda averiguar que usuarios existen probando nombres</t>
        </is>
      </c>
    </row>
    <row r="73">
      <c r="A73" s="4" t="inlineStr">
        <is>
          <t>HU0020</t>
        </is>
      </c>
      <c r="B73" s="5" t="n"/>
      <c r="C73" s="5" t="n"/>
      <c r="D73" s="5" t="n"/>
      <c r="E73" s="5" t="n"/>
      <c r="F73" s="5" t="n"/>
      <c r="G73" s="5" t="n"/>
      <c r="H73" s="7" t="n">
        <v>3</v>
      </c>
      <c r="I73" s="7">
        <f>CONCATENATE(A73,"-",H73)</f>
        <v/>
      </c>
      <c r="J73" s="8" t="inlineStr">
        <is>
          <t>Una sola peticion viva por cuenta</t>
        </is>
      </c>
      <c r="K73" s="5" t="inlineStr">
        <is>
          <t>El usuario ya tiene una solicitud pendiente sin atender</t>
        </is>
      </c>
      <c r="L73" s="5" t="inlineStr">
        <is>
          <t>Vuelve a solicitar el restablecimiento</t>
        </is>
      </c>
      <c r="M73" s="5" t="inlineStr">
        <is>
          <t>El sistema renueva la vigencia de la peticion existente en lugar de crear otra, para que la bandeja del administrador no acumule duplicados</t>
        </is>
      </c>
    </row>
    <row r="74">
      <c r="A74" s="4" t="inlineStr">
        <is>
          <t>HU0020</t>
        </is>
      </c>
      <c r="B74" s="5" t="n"/>
      <c r="C74" s="5" t="n"/>
      <c r="D74" s="5" t="n"/>
      <c r="E74" s="5" t="n"/>
      <c r="F74" s="5" t="n"/>
      <c r="G74" s="5" t="n"/>
      <c r="H74" s="7" t="n">
        <v>4</v>
      </c>
      <c r="I74" s="7">
        <f>CONCATENATE(A74,"-",H74)</f>
        <v/>
      </c>
      <c r="J74" s="8" t="inlineStr">
        <is>
          <t>La solicitud caduca sola</t>
        </is>
      </c>
      <c r="K74" s="5" t="inlineStr">
        <is>
          <t>Han pasado mas de 72 horas desde la peticion</t>
        </is>
      </c>
      <c r="L74" s="5" t="inlineStr">
        <is>
          <t>El administrador abre la bandeja de solicitudes</t>
        </is>
      </c>
      <c r="M74" s="5" t="inlineStr">
        <is>
          <t>La peticion aparece como «caducada» y ya no se puede atender, sin que nadie haya tenido que ejecutar ninguna tarea de limpieza</t>
        </is>
      </c>
    </row>
    <row r="75">
      <c r="A75" s="4" t="inlineStr">
        <is>
          <t>HU0021</t>
        </is>
      </c>
      <c r="B75" s="5" t="inlineStr">
        <is>
          <t>Administrador</t>
        </is>
      </c>
      <c r="C75" s="5" t="inlineStr">
        <is>
          <t>Necesito:</t>
        </is>
      </c>
      <c r="D75" s="5" t="inlineStr">
        <is>
          <t>restablecer la contrasena de una cuenta que lo ha solicitado</t>
        </is>
      </c>
      <c r="E75" s="5" t="inlineStr">
        <is>
          <t>Con la finalidad de:</t>
        </is>
      </c>
      <c r="F75" s="5" t="inlineStr">
        <is>
          <t>devolver el acceso a un companero sin conocer su contrasena anterior</t>
        </is>
      </c>
      <c r="G75" s="5">
        <f>CONCATENATE("Como ",B75," quiero ",D75," para ",F75)</f>
        <v/>
      </c>
      <c r="H75" s="7" t="n">
        <v>1</v>
      </c>
      <c r="I75" s="7">
        <f>CONCATENATE(A75,"-",H75)</f>
        <v/>
      </c>
      <c r="J75" s="8" t="inlineStr">
        <is>
          <t>Solo el administrador accede a la bandeja</t>
        </is>
      </c>
      <c r="K75" s="5" t="inlineStr">
        <is>
          <t>Un docente o un psicologo inicia sesion</t>
        </is>
      </c>
      <c r="L75" s="5" t="inlineStr">
        <is>
          <t>Intenta abrir «Accesos y Seguridad» o llamar directamente a la API</t>
        </is>
      </c>
      <c r="M75" s="5" t="inlineStr">
        <is>
          <t>El sistema deniega el acceso con codigo 403; la comprobacion se hace en el servidor y no depende de que la opcion este oculta en el menu</t>
        </is>
      </c>
    </row>
    <row r="76">
      <c r="A76" s="4" t="inlineStr">
        <is>
          <t>HU0021</t>
        </is>
      </c>
      <c r="B76" s="5" t="n"/>
      <c r="C76" s="5" t="n"/>
      <c r="D76" s="5" t="n"/>
      <c r="E76" s="5" t="n"/>
      <c r="F76" s="5" t="n"/>
      <c r="G76" s="5" t="n"/>
      <c r="H76" s="7" t="n">
        <v>2</v>
      </c>
      <c r="I76" s="7">
        <f>CONCATENATE(A76,"-",H76)</f>
        <v/>
      </c>
      <c r="J76" s="8" t="inlineStr">
        <is>
          <t>Restablecimiento aplicado</t>
        </is>
      </c>
      <c r="K76" s="5" t="inlineStr">
        <is>
          <t>Existe una solicitud pendiente de un usuario</t>
        </is>
      </c>
      <c r="L76" s="5" t="inlineStr">
        <is>
          <t>El administrador escribe la contrasena nueva y confirma en el dialogo</t>
        </is>
      </c>
      <c r="M76" s="5" t="inlineStr">
        <is>
          <t>El sistema guarda la contrasena cifrada, marca la solicitud como atendida e indica que debe comunicarse en persona porque no se envia por ningun medio</t>
        </is>
      </c>
    </row>
    <row r="77">
      <c r="A77" s="4" t="inlineStr">
        <is>
          <t>HU0021</t>
        </is>
      </c>
      <c r="B77" s="5" t="n"/>
      <c r="C77" s="5" t="n"/>
      <c r="D77" s="5" t="n"/>
      <c r="E77" s="5" t="n"/>
      <c r="F77" s="5" t="n"/>
      <c r="G77" s="5" t="n"/>
      <c r="H77" s="7" t="n">
        <v>3</v>
      </c>
      <c r="I77" s="7">
        <f>CONCATENATE(A77,"-",H77)</f>
        <v/>
      </c>
      <c r="J77" s="8" t="inlineStr">
        <is>
          <t>Las sesiones abiertas se cierran</t>
        </is>
      </c>
      <c r="K77" s="5" t="inlineStr">
        <is>
          <t>El usuario afectado tenia sesiones activas en otros equipos</t>
        </is>
      </c>
      <c r="L77" s="5" t="inlineStr">
        <is>
          <t>El administrador completa el restablecimiento</t>
        </is>
      </c>
      <c r="M77" s="5" t="inlineStr">
        <is>
          <t>El sistema revoca todas sus sesiones, porque si pidio recuperar el acceso cabe la posibilidad de que otra persona lo tuviera</t>
        </is>
      </c>
    </row>
    <row r="78">
      <c r="A78" s="4" t="inlineStr">
        <is>
          <t>HU0021</t>
        </is>
      </c>
      <c r="B78" s="5" t="n"/>
      <c r="C78" s="5" t="n"/>
      <c r="D78" s="5" t="n"/>
      <c r="E78" s="5" t="n"/>
      <c r="F78" s="5" t="n"/>
      <c r="G78" s="5" t="n"/>
      <c r="H78" s="7" t="n">
        <v>4</v>
      </c>
      <c r="I78" s="7">
        <f>CONCATENATE(A78,"-",H78)</f>
        <v/>
      </c>
      <c r="J78" s="8" t="inlineStr">
        <is>
          <t>Una solicitud atendida no se reutiliza</t>
        </is>
      </c>
      <c r="K78" s="5" t="inlineStr">
        <is>
          <t>La solicitud ya fue atendida o caduco</t>
        </is>
      </c>
      <c r="L78" s="5" t="inlineStr">
        <is>
          <t>Se intenta atenderla de nuevo</t>
        </is>
      </c>
      <c r="M78" s="5" t="inlineStr">
        <is>
          <t>El sistema responde con codigo 409 e indica en que estado se encuentra, en lugar de cambiar la contrasena por segunda vez</t>
        </is>
      </c>
    </row>
    <row r="79">
      <c r="A79" s="4" t="inlineStr">
        <is>
          <t>HU0021</t>
        </is>
      </c>
      <c r="B79" s="5" t="n"/>
      <c r="C79" s="5" t="n"/>
      <c r="D79" s="5" t="n"/>
      <c r="E79" s="5" t="n"/>
      <c r="F79" s="5" t="n"/>
      <c r="G79" s="5" t="n"/>
      <c r="H79" s="7" t="n">
        <v>5</v>
      </c>
      <c r="I79" s="7">
        <f>CONCATENATE(A79,"-",H79)</f>
        <v/>
      </c>
      <c r="J79" s="8" t="inlineStr">
        <is>
          <t>La contrasena nueva debe ser valida</t>
        </is>
      </c>
      <c r="K79" s="5" t="inlineStr">
        <is>
          <t>El administrador esta atendiendo una solicitud</t>
        </is>
      </c>
      <c r="L79" s="5" t="inlineStr">
        <is>
          <t>Escribe una contrasena que no cumple la longitud minima</t>
        </is>
      </c>
      <c r="M79" s="5" t="inlineStr">
        <is>
          <t>El sistema la rechaza explicando el motivo y la solicitud sigue pendiente</t>
        </is>
      </c>
    </row>
    <row r="80">
      <c r="A80" s="4" t="inlineStr">
        <is>
          <t>HU0022</t>
        </is>
      </c>
      <c r="B80" s="5" t="inlineStr">
        <is>
          <t>Administrador</t>
        </is>
      </c>
      <c r="C80" s="5" t="inlineStr">
        <is>
          <t>Necesito:</t>
        </is>
      </c>
      <c r="D80" s="5" t="inlineStr">
        <is>
          <t>ver el estado de las cuentas y las sesiones abiertas</t>
        </is>
      </c>
      <c r="E80" s="5" t="inlineStr">
        <is>
          <t>Con la finalidad de:</t>
        </is>
      </c>
      <c r="F80" s="5" t="inlineStr">
        <is>
          <t>poder cerrar un acceso que quedo abierto en un aula</t>
        </is>
      </c>
      <c r="G80" s="5">
        <f>CONCATENATE("Como ",B80," quiero ",D80," para ",F80)</f>
        <v/>
      </c>
      <c r="H80" s="7" t="n">
        <v>1</v>
      </c>
      <c r="I80" s="7">
        <f>CONCATENATE(A80,"-",H80)</f>
        <v/>
      </c>
      <c r="J80" s="8" t="inlineStr">
        <is>
          <t>Inventario de cuentas</t>
        </is>
      </c>
      <c r="K80" s="5" t="inlineStr">
        <is>
          <t>El administrador entra en «Accesos y Seguridad»</t>
        </is>
      </c>
      <c r="L80" s="5" t="inlineStr">
        <is>
          <t>Consulta la seccion de cuentas del sistema</t>
        </is>
      </c>
      <c r="M80" s="5" t="inlineStr">
        <is>
          <t>El sistema lista cada cuenta con su rol, su ultimo acceso y cuantas sesiones tiene abiertas en ese momento</t>
        </is>
      </c>
    </row>
    <row r="81">
      <c r="A81" s="4" t="inlineStr">
        <is>
          <t>HU0022</t>
        </is>
      </c>
      <c r="B81" s="5" t="n"/>
      <c r="C81" s="5" t="n"/>
      <c r="D81" s="5" t="n"/>
      <c r="E81" s="5" t="n"/>
      <c r="F81" s="5" t="n"/>
      <c r="G81" s="5" t="n"/>
      <c r="H81" s="7" t="n">
        <v>2</v>
      </c>
      <c r="I81" s="7">
        <f>CONCATENATE(A81,"-",H81)</f>
        <v/>
      </c>
      <c r="J81" s="8" t="inlineStr">
        <is>
          <t>Cierre de sesiones sin cambiar la contrasena</t>
        </is>
      </c>
      <c r="K81" s="5" t="inlineStr">
        <is>
          <t>Una cuenta tiene sesiones abiertas</t>
        </is>
      </c>
      <c r="L81" s="5" t="inlineStr">
        <is>
          <t>El administrador pulsa «Cerrar sesiones» y confirma</t>
        </is>
      </c>
      <c r="M81" s="5" t="inlineStr">
        <is>
          <t>El sistema revoca esas sesiones y la contrasena permanece intacta, de modo que la persona puede volver a entrar con la que ya conoce</t>
        </is>
      </c>
    </row>
    <row r="82">
      <c r="A82" s="4" t="inlineStr">
        <is>
          <t>HU0022</t>
        </is>
      </c>
      <c r="B82" s="5" t="n"/>
      <c r="C82" s="5" t="n"/>
      <c r="D82" s="5" t="n"/>
      <c r="E82" s="5" t="n"/>
      <c r="F82" s="5" t="n"/>
      <c r="G82" s="5" t="n"/>
      <c r="H82" s="7" t="n">
        <v>3</v>
      </c>
      <c r="I82" s="7">
        <f>CONCATENATE(A82,"-",H82)</f>
        <v/>
      </c>
      <c r="J82" s="8" t="inlineStr">
        <is>
          <t>Aviso al cerrar la propia sesion</t>
        </is>
      </c>
      <c r="K82" s="5" t="inlineStr">
        <is>
          <t>El administrador va a cerrar las sesiones de su propia cuenta</t>
        </is>
      </c>
      <c r="L82" s="5" t="inlineStr">
        <is>
          <t>Se abre el dialogo de confirmacion</t>
        </is>
      </c>
      <c r="M82" s="5" t="inlineStr">
        <is>
          <t>El sistema advierte de que se cerrara tambien la suya y tendra que volver a entrar</t>
        </is>
      </c>
    </row>
    <row r="83">
      <c r="A83" s="4" t="inlineStr">
        <is>
          <t>HU0022</t>
        </is>
      </c>
      <c r="B83" s="5" t="n"/>
      <c r="C83" s="5" t="n"/>
      <c r="D83" s="5" t="n"/>
      <c r="E83" s="5" t="n"/>
      <c r="F83" s="5" t="n"/>
      <c r="G83" s="5" t="n"/>
      <c r="H83" s="7" t="n">
        <v>4</v>
      </c>
      <c r="I83" s="7">
        <f>CONCATENATE(A83,"-",H83)</f>
        <v/>
      </c>
      <c r="J83" s="8" t="inlineStr">
        <is>
          <t>Matriz de permisos derivada de la configuracion</t>
        </is>
      </c>
      <c r="K83" s="5" t="inlineStr">
        <is>
          <t>El administrador consulta que ve cada rol</t>
        </is>
      </c>
      <c r="L83" s="5" t="inlineStr">
        <is>
          <t>Revisa la tabla de permisos</t>
        </is>
      </c>
      <c r="M83" s="5" t="inlineStr">
        <is>
          <t>La tabla se genera a partir de la configuracion real de permisos y no de un texto escrito a mano, de modo que no puede quedar desfasada respecto al sistema</t>
        </is>
      </c>
    </row>
    <row r="84">
      <c r="A84" s="4" t="inlineStr">
        <is>
          <t>HU0023</t>
        </is>
      </c>
      <c r="B84" s="5" t="inlineStr">
        <is>
          <t>Docente o Psicologo</t>
        </is>
      </c>
      <c r="C84" s="5" t="inlineStr">
        <is>
          <t>Necesito:</t>
        </is>
      </c>
      <c r="D84" s="5" t="inlineStr">
        <is>
          <t>conocer cuanto acierta el modelo y en que se fija</t>
        </is>
      </c>
      <c r="E84" s="5" t="inlineStr">
        <is>
          <t>Con la finalidad de:</t>
        </is>
      </c>
      <c r="F84" s="5" t="inlineStr">
        <is>
          <t>interpretar una prediccion sabiendo su margen de error y no como un veredicto</t>
        </is>
      </c>
      <c r="G84" s="5">
        <f>CONCATENATE("Como ",B84," quiero ",D84," para ",F84)</f>
        <v/>
      </c>
      <c r="H84" s="7" t="n">
        <v>1</v>
      </c>
      <c r="I84" s="7">
        <f>CONCATENATE(A84,"-",H84)</f>
        <v/>
      </c>
      <c r="J84" s="8" t="inlineStr">
        <is>
          <t>Fiabilidad medida con estudiantes reales</t>
        </is>
      </c>
      <c r="K84" s="5" t="inlineStr">
        <is>
          <t>El usuario abre «Metricas del Modelo»</t>
        </is>
      </c>
      <c r="L84" s="5" t="inlineStr">
        <is>
          <t>Consulta el encabezado de cada modelo</t>
        </is>
      </c>
      <c r="M84" s="5" t="inlineStr">
        <is>
          <t>El sistema muestra el porcentaje de acierto sobre los 30 estudiantes reales, con su matriz de confusion y el desglose por nivel</t>
        </is>
      </c>
    </row>
    <row r="85">
      <c r="A85" s="4" t="inlineStr">
        <is>
          <t>HU0023</t>
        </is>
      </c>
      <c r="B85" s="5" t="n"/>
      <c r="C85" s="5" t="n"/>
      <c r="D85" s="5" t="n"/>
      <c r="E85" s="5" t="n"/>
      <c r="F85" s="5" t="n"/>
      <c r="G85" s="5" t="n"/>
      <c r="H85" s="7" t="n">
        <v>2</v>
      </c>
      <c r="I85" s="7">
        <f>CONCATENATE(A85,"-",H85)</f>
        <v/>
      </c>
      <c r="J85" s="8" t="inlineStr">
        <is>
          <t>Se distinguen los dos conjuntos de datos</t>
        </is>
      </c>
      <c r="K85" s="5" t="inlineStr">
        <is>
          <t>Conviven la validacion de entrenamiento y la validacion real</t>
        </is>
      </c>
      <c r="L85" s="5" t="inlineStr">
        <is>
          <t>El usuario recorre la pantalla</t>
        </is>
      </c>
      <c r="M85" s="5" t="inlineStr">
        <is>
          <t>El sistema separa y explica ambas: 500 registros sinteticos repartidos en 400 de entrenamiento y 100 de validacion, frente a 30 estudiantes reales con dictamen profesional, indicando para que sirve cada una</t>
        </is>
      </c>
    </row>
    <row r="86">
      <c r="A86" s="4" t="inlineStr">
        <is>
          <t>HU0023</t>
        </is>
      </c>
      <c r="B86" s="5" t="n"/>
      <c r="C86" s="5" t="n"/>
      <c r="D86" s="5" t="n"/>
      <c r="E86" s="5" t="n"/>
      <c r="F86" s="5" t="n"/>
      <c r="G86" s="5" t="n"/>
      <c r="H86" s="7" t="n">
        <v>3</v>
      </c>
      <c r="I86" s="7">
        <f>CONCATENATE(A86,"-",H86)</f>
        <v/>
      </c>
      <c r="J86" s="8" t="inlineStr">
        <is>
          <t>Influencia de cada variable</t>
        </is>
      </c>
      <c r="K86" s="5" t="inlineStr">
        <is>
          <t>El usuario quiere saber en que se fija el modelo</t>
        </is>
      </c>
      <c r="L86" s="5" t="inlineStr">
        <is>
          <t>Consulta la seccion de influencia</t>
        </is>
      </c>
      <c r="M86" s="5" t="inlineStr">
        <is>
          <t>El sistema muestra el peso de cada variable del modelo de riesgo y de cada subescala del EDAH, aclarando que explica el modelo en conjunto y no un caso concreto</t>
        </is>
      </c>
    </row>
    <row r="87">
      <c r="A87" s="4" t="inlineStr">
        <is>
          <t>HU0023</t>
        </is>
      </c>
      <c r="B87" s="5" t="n"/>
      <c r="C87" s="5" t="n"/>
      <c r="D87" s="5" t="n"/>
      <c r="E87" s="5" t="n"/>
      <c r="F87" s="5" t="n"/>
      <c r="G87" s="5" t="n"/>
      <c r="H87" s="7" t="n">
        <v>4</v>
      </c>
      <c r="I87" s="7">
        <f>CONCATENATE(A87,"-",H87)</f>
        <v/>
      </c>
      <c r="J87" s="8" t="inlineStr">
        <is>
          <t>Advertencia de tamizaje</t>
        </is>
      </c>
      <c r="K87" s="5" t="inlineStr">
        <is>
          <t>El usuario consulta cualquier cifra de la pantalla</t>
        </is>
      </c>
      <c r="L87" s="5" t="inlineStr">
        <is>
          <t>Lee el encabezado y el cierre de la vista</t>
        </is>
      </c>
      <c r="M87" s="5" t="inlineStr">
        <is>
          <t>El sistema advierte de que es una herramienta de tamizaje y no de diagnostico, y explica que consecuencia tiene cada tipo de error</t>
        </is>
      </c>
    </row>
    <row r="88">
      <c r="A88" s="4" t="inlineStr">
        <is>
          <t>HU0023</t>
        </is>
      </c>
      <c r="B88" s="5" t="n"/>
      <c r="C88" s="5" t="n"/>
      <c r="D88" s="5" t="n"/>
      <c r="E88" s="5" t="n"/>
      <c r="F88" s="5" t="n"/>
      <c r="G88" s="5" t="n"/>
      <c r="H88" s="7" t="n">
        <v>5</v>
      </c>
      <c r="I88" s="7">
        <f>CONCATENATE(A88,"-",H88)</f>
        <v/>
      </c>
      <c r="J88" s="8" t="inlineStr">
        <is>
          <t>Aviso en los niveles con pocos casos</t>
        </is>
      </c>
      <c r="K88" s="5" t="inlineStr">
        <is>
          <t>Un nivel de la validacion real tiene menos de cinco estudiantes</t>
        </is>
      </c>
      <c r="L88" s="5" t="inlineStr">
        <is>
          <t>El usuario consulta el desglose por nivel</t>
        </is>
      </c>
      <c r="M88" s="5" t="inlineStr">
        <is>
          <t>El sistema advierte de que ese porcentaje es poco fiable, porque un solo acierto o fallo lo mueve decenas de puntos</t>
        </is>
      </c>
    </row>
  </sheetData>
  <mergeCells count="2">
    <mergeCell ref="A1:I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2026-09-23T05:11:20Z</dcterms:created>
  <dcterms:modified xsi:type="dcterms:W3CDTF">2026-09-28T01:34:48Z</dcterms:modified>
</cp:coreProperties>
</file>